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Админ\Desktop\"/>
    </mc:Choice>
  </mc:AlternateContent>
  <xr:revisionPtr revIDLastSave="0" documentId="13_ncr:1_{1ADACA19-03B9-4E7C-9AE1-C4A1FC172D60}" xr6:coauthVersionLast="47" xr6:coauthVersionMax="47" xr10:uidLastSave="{00000000-0000-0000-0000-000000000000}"/>
  <bookViews>
    <workbookView xWindow="-108" yWindow="-108" windowWidth="23256" windowHeight="12456" activeTab="6" xr2:uid="{00000000-000D-0000-FFFF-FFFF00000000}"/>
  </bookViews>
  <sheets>
    <sheet name="Приветствие" sheetId="9" r:id="rId1"/>
    <sheet name="Задания" sheetId="6" r:id="rId2"/>
    <sheet name="СВОД" sheetId="12" r:id="rId3"/>
    <sheet name="СВОД2" sheetId="18" r:id="rId4"/>
    <sheet name="БАЗА (1)" sheetId="4" r:id="rId5"/>
    <sheet name="Справочник (2-3)" sheetId="5" r:id="rId6"/>
    <sheet name="(4)" sheetId="11" r:id="rId7"/>
  </sheets>
  <definedNames>
    <definedName name="_xlnm._FilterDatabase" localSheetId="6" hidden="1">'(4)'!$A$2:$C$702</definedName>
    <definedName name="_xlnm._FilterDatabase" localSheetId="4" hidden="1">'БАЗА (1)'!$A$2:$K$2</definedName>
    <definedName name="_xlnm.Print_Area" localSheetId="0">Приветствие!$B$2:$K$11</definedName>
  </definedNames>
  <calcPr calcId="191029"/>
  <pivotCaches>
    <pivotCache cacheId="51" r:id="rId8"/>
    <pivotCache cacheId="52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4" i="4" l="1" a="1"/>
  <c r="H4" i="4" s="1"/>
  <c r="H5" i="4" a="1"/>
  <c r="H5" i="4" s="1"/>
  <c r="H6" i="4" a="1"/>
  <c r="H6" i="4"/>
  <c r="H7" i="4" a="1"/>
  <c r="H7" i="4"/>
  <c r="H8" i="4" a="1"/>
  <c r="H8" i="4" s="1"/>
  <c r="H9" i="4" a="1"/>
  <c r="H9" i="4" s="1"/>
  <c r="H10" i="4" a="1"/>
  <c r="H10" i="4"/>
  <c r="H11" i="4" a="1"/>
  <c r="H11" i="4"/>
  <c r="H12" i="4" a="1"/>
  <c r="H12" i="4" s="1"/>
  <c r="H13" i="4" a="1"/>
  <c r="H13" i="4" s="1"/>
  <c r="H14" i="4" a="1"/>
  <c r="H14" i="4"/>
  <c r="H15" i="4" a="1"/>
  <c r="H15" i="4"/>
  <c r="H16" i="4" a="1"/>
  <c r="H16" i="4" s="1"/>
  <c r="H17" i="4" a="1"/>
  <c r="H17" i="4" s="1"/>
  <c r="H18" i="4" a="1"/>
  <c r="H18" i="4"/>
  <c r="H19" i="4" a="1"/>
  <c r="H19" i="4"/>
  <c r="H20" i="4" a="1"/>
  <c r="H20" i="4" s="1"/>
  <c r="H21" i="4" a="1"/>
  <c r="H21" i="4" s="1"/>
  <c r="H22" i="4" a="1"/>
  <c r="H22" i="4"/>
  <c r="H23" i="4" a="1"/>
  <c r="H23" i="4"/>
  <c r="H24" i="4" a="1"/>
  <c r="H24" i="4" s="1"/>
  <c r="H25" i="4" a="1"/>
  <c r="H25" i="4" s="1"/>
  <c r="H26" i="4" a="1"/>
  <c r="H26" i="4"/>
  <c r="H27" i="4" a="1"/>
  <c r="H27" i="4"/>
  <c r="H28" i="4" a="1"/>
  <c r="H28" i="4" s="1"/>
  <c r="H29" i="4" a="1"/>
  <c r="H29" i="4" s="1"/>
  <c r="H30" i="4" a="1"/>
  <c r="H30" i="4"/>
  <c r="H31" i="4" a="1"/>
  <c r="H31" i="4"/>
  <c r="H32" i="4" a="1"/>
  <c r="H32" i="4" s="1"/>
  <c r="H33" i="4" a="1"/>
  <c r="H33" i="4" s="1"/>
  <c r="H34" i="4" a="1"/>
  <c r="H34" i="4"/>
  <c r="H35" i="4" a="1"/>
  <c r="H35" i="4"/>
  <c r="H36" i="4" a="1"/>
  <c r="H36" i="4" s="1"/>
  <c r="H37" i="4" a="1"/>
  <c r="H37" i="4" s="1"/>
  <c r="H38" i="4" a="1"/>
  <c r="H38" i="4" s="1"/>
  <c r="H39" i="4" a="1"/>
  <c r="H39" i="4"/>
  <c r="H40" i="4" a="1"/>
  <c r="H40" i="4" s="1"/>
  <c r="H41" i="4" a="1"/>
  <c r="H41" i="4" s="1"/>
  <c r="H42" i="4" a="1"/>
  <c r="H42" i="4" s="1"/>
  <c r="H43" i="4" a="1"/>
  <c r="H43" i="4"/>
  <c r="H44" i="4" a="1"/>
  <c r="H44" i="4" s="1"/>
  <c r="H45" i="4" a="1"/>
  <c r="H45" i="4" s="1"/>
  <c r="H46" i="4" a="1"/>
  <c r="H46" i="4" s="1"/>
  <c r="H47" i="4" a="1"/>
  <c r="H47" i="4"/>
  <c r="H48" i="4" a="1"/>
  <c r="H48" i="4" s="1"/>
  <c r="H49" i="4" a="1"/>
  <c r="H49" i="4" s="1"/>
  <c r="H50" i="4" a="1"/>
  <c r="H50" i="4" s="1"/>
  <c r="H51" i="4" a="1"/>
  <c r="H51" i="4"/>
  <c r="H52" i="4" a="1"/>
  <c r="H52" i="4" s="1"/>
  <c r="H53" i="4" a="1"/>
  <c r="H53" i="4" s="1"/>
  <c r="H54" i="4" a="1"/>
  <c r="H54" i="4" s="1"/>
  <c r="H55" i="4" a="1"/>
  <c r="H55" i="4"/>
  <c r="H56" i="4" a="1"/>
  <c r="H56" i="4" s="1"/>
  <c r="H57" i="4" a="1"/>
  <c r="H57" i="4" s="1"/>
  <c r="H58" i="4" a="1"/>
  <c r="H58" i="4" s="1"/>
  <c r="H59" i="4" a="1"/>
  <c r="H59" i="4"/>
  <c r="H60" i="4" a="1"/>
  <c r="H60" i="4" s="1"/>
  <c r="H61" i="4" a="1"/>
  <c r="H61" i="4" s="1"/>
  <c r="H62" i="4" a="1"/>
  <c r="H62" i="4" s="1"/>
  <c r="H63" i="4" a="1"/>
  <c r="H63" i="4"/>
  <c r="H64" i="4" a="1"/>
  <c r="H64" i="4" s="1"/>
  <c r="H65" i="4" a="1"/>
  <c r="H65" i="4" s="1"/>
  <c r="H66" i="4" a="1"/>
  <c r="H66" i="4" s="1"/>
  <c r="H67" i="4" a="1"/>
  <c r="H67" i="4"/>
  <c r="H68" i="4" a="1"/>
  <c r="H68" i="4" s="1"/>
  <c r="H69" i="4" a="1"/>
  <c r="H69" i="4" s="1"/>
  <c r="H70" i="4" a="1"/>
  <c r="H70" i="4" s="1"/>
  <c r="H71" i="4" a="1"/>
  <c r="H71" i="4"/>
  <c r="H72" i="4" a="1"/>
  <c r="H72" i="4" s="1"/>
  <c r="H73" i="4" a="1"/>
  <c r="H73" i="4" s="1"/>
  <c r="H74" i="4" a="1"/>
  <c r="H74" i="4" s="1"/>
  <c r="H75" i="4" a="1"/>
  <c r="H75" i="4"/>
  <c r="H76" i="4" a="1"/>
  <c r="H76" i="4" s="1"/>
  <c r="H77" i="4" a="1"/>
  <c r="H77" i="4" s="1"/>
  <c r="H78" i="4" a="1"/>
  <c r="H78" i="4" s="1"/>
  <c r="H79" i="4" a="1"/>
  <c r="H79" i="4"/>
  <c r="H80" i="4" a="1"/>
  <c r="H80" i="4" s="1"/>
  <c r="H81" i="4" a="1"/>
  <c r="H81" i="4" s="1"/>
  <c r="H82" i="4" a="1"/>
  <c r="H82" i="4" s="1"/>
  <c r="H83" i="4" a="1"/>
  <c r="H83" i="4"/>
  <c r="H84" i="4" a="1"/>
  <c r="H84" i="4" s="1"/>
  <c r="H85" i="4" a="1"/>
  <c r="H85" i="4" s="1"/>
  <c r="H86" i="4" a="1"/>
  <c r="H86" i="4" s="1"/>
  <c r="H87" i="4" a="1"/>
  <c r="H87" i="4"/>
  <c r="H88" i="4" a="1"/>
  <c r="H88" i="4" s="1"/>
  <c r="H89" i="4" a="1"/>
  <c r="H89" i="4" s="1"/>
  <c r="H90" i="4" a="1"/>
  <c r="H90" i="4" s="1"/>
  <c r="H91" i="4" a="1"/>
  <c r="H91" i="4"/>
  <c r="H92" i="4" a="1"/>
  <c r="H92" i="4" s="1"/>
  <c r="H93" i="4" a="1"/>
  <c r="H93" i="4" s="1"/>
  <c r="H94" i="4" a="1"/>
  <c r="H94" i="4" s="1"/>
  <c r="H95" i="4" a="1"/>
  <c r="H95" i="4"/>
  <c r="H96" i="4" a="1"/>
  <c r="H96" i="4" s="1"/>
  <c r="H97" i="4" a="1"/>
  <c r="H97" i="4" s="1"/>
  <c r="H98" i="4" a="1"/>
  <c r="H98" i="4" s="1"/>
  <c r="H99" i="4" a="1"/>
  <c r="H99" i="4"/>
  <c r="H100" i="4" a="1"/>
  <c r="H100" i="4" s="1"/>
  <c r="H101" i="4" a="1"/>
  <c r="H101" i="4" s="1"/>
  <c r="H102" i="4" a="1"/>
  <c r="H102" i="4" s="1"/>
  <c r="H103" i="4" a="1"/>
  <c r="H103" i="4"/>
  <c r="H104" i="4" a="1"/>
  <c r="H104" i="4" s="1"/>
  <c r="H105" i="4" a="1"/>
  <c r="H105" i="4" s="1"/>
  <c r="H106" i="4" a="1"/>
  <c r="H106" i="4" s="1"/>
  <c r="H107" i="4" a="1"/>
  <c r="H107" i="4"/>
  <c r="H108" i="4" a="1"/>
  <c r="H108" i="4" s="1"/>
  <c r="H109" i="4" a="1"/>
  <c r="H109" i="4" s="1"/>
  <c r="H110" i="4" a="1"/>
  <c r="H110" i="4" s="1"/>
  <c r="H111" i="4" a="1"/>
  <c r="H111" i="4"/>
  <c r="H112" i="4" a="1"/>
  <c r="H112" i="4" s="1"/>
  <c r="H113" i="4" a="1"/>
  <c r="H113" i="4" s="1"/>
  <c r="H114" i="4" a="1"/>
  <c r="H114" i="4" s="1"/>
  <c r="H115" i="4" a="1"/>
  <c r="H115" i="4"/>
  <c r="H116" i="4" a="1"/>
  <c r="H116" i="4" s="1"/>
  <c r="H117" i="4" a="1"/>
  <c r="H117" i="4" s="1"/>
  <c r="H118" i="4" a="1"/>
  <c r="H118" i="4" s="1"/>
  <c r="H119" i="4" a="1"/>
  <c r="H119" i="4"/>
  <c r="H120" i="4" a="1"/>
  <c r="H120" i="4" s="1"/>
  <c r="H121" i="4" a="1"/>
  <c r="H121" i="4" s="1"/>
  <c r="H122" i="4" a="1"/>
  <c r="H122" i="4" s="1"/>
  <c r="H123" i="4" a="1"/>
  <c r="H123" i="4"/>
  <c r="H124" i="4" a="1"/>
  <c r="H124" i="4" s="1"/>
  <c r="H125" i="4" a="1"/>
  <c r="H125" i="4" s="1"/>
  <c r="H126" i="4" a="1"/>
  <c r="H126" i="4" s="1"/>
  <c r="H127" i="4" a="1"/>
  <c r="H127" i="4"/>
  <c r="H128" i="4" a="1"/>
  <c r="H128" i="4" s="1"/>
  <c r="H129" i="4" a="1"/>
  <c r="H129" i="4" s="1"/>
  <c r="H130" i="4" a="1"/>
  <c r="H130" i="4" s="1"/>
  <c r="H131" i="4" a="1"/>
  <c r="H131" i="4"/>
  <c r="H132" i="4" a="1"/>
  <c r="H132" i="4" s="1"/>
  <c r="H133" i="4" a="1"/>
  <c r="H133" i="4" s="1"/>
  <c r="H134" i="4" a="1"/>
  <c r="H134" i="4" s="1"/>
  <c r="H135" i="4" a="1"/>
  <c r="H135" i="4"/>
  <c r="H136" i="4" a="1"/>
  <c r="H136" i="4" s="1"/>
  <c r="H137" i="4" a="1"/>
  <c r="H137" i="4" s="1"/>
  <c r="H138" i="4" a="1"/>
  <c r="H138" i="4" s="1"/>
  <c r="H139" i="4" a="1"/>
  <c r="H139" i="4"/>
  <c r="H140" i="4" a="1"/>
  <c r="H140" i="4" s="1"/>
  <c r="H141" i="4" a="1"/>
  <c r="H141" i="4" s="1"/>
  <c r="H142" i="4" a="1"/>
  <c r="H142" i="4" s="1"/>
  <c r="H143" i="4" a="1"/>
  <c r="H143" i="4"/>
  <c r="H144" i="4" a="1"/>
  <c r="H144" i="4" s="1"/>
  <c r="H145" i="4" a="1"/>
  <c r="H145" i="4" s="1"/>
  <c r="H146" i="4" a="1"/>
  <c r="H146" i="4" s="1"/>
  <c r="H147" i="4" a="1"/>
  <c r="H147" i="4"/>
  <c r="H148" i="4" a="1"/>
  <c r="H148" i="4" s="1"/>
  <c r="H149" i="4" a="1"/>
  <c r="H149" i="4" s="1"/>
  <c r="H150" i="4" a="1"/>
  <c r="H150" i="4" s="1"/>
  <c r="H151" i="4" a="1"/>
  <c r="H151" i="4"/>
  <c r="H152" i="4" a="1"/>
  <c r="H152" i="4" s="1"/>
  <c r="H153" i="4" a="1"/>
  <c r="H153" i="4" s="1"/>
  <c r="H154" i="4" a="1"/>
  <c r="H154" i="4" s="1"/>
  <c r="H155" i="4" a="1"/>
  <c r="H155" i="4"/>
  <c r="H156" i="4" a="1"/>
  <c r="H156" i="4" s="1"/>
  <c r="H157" i="4" a="1"/>
  <c r="H157" i="4" s="1"/>
  <c r="H158" i="4" a="1"/>
  <c r="H158" i="4" s="1"/>
  <c r="H159" i="4" a="1"/>
  <c r="H159" i="4"/>
  <c r="H160" i="4" a="1"/>
  <c r="H160" i="4" s="1"/>
  <c r="H161" i="4" a="1"/>
  <c r="H161" i="4" s="1"/>
  <c r="H162" i="4" a="1"/>
  <c r="H162" i="4" s="1"/>
  <c r="H163" i="4" a="1"/>
  <c r="H163" i="4"/>
  <c r="H164" i="4" a="1"/>
  <c r="H164" i="4" s="1"/>
  <c r="H165" i="4" a="1"/>
  <c r="H165" i="4" s="1"/>
  <c r="H166" i="4" a="1"/>
  <c r="H166" i="4" s="1"/>
  <c r="H167" i="4" a="1"/>
  <c r="H167" i="4"/>
  <c r="H168" i="4" a="1"/>
  <c r="H168" i="4" s="1"/>
  <c r="H169" i="4" a="1"/>
  <c r="H169" i="4" s="1"/>
  <c r="H170" i="4" a="1"/>
  <c r="H170" i="4" s="1"/>
  <c r="H171" i="4" a="1"/>
  <c r="H171" i="4"/>
  <c r="H172" i="4" a="1"/>
  <c r="H172" i="4" s="1"/>
  <c r="H173" i="4" a="1"/>
  <c r="H173" i="4" s="1"/>
  <c r="H174" i="4" a="1"/>
  <c r="H174" i="4" s="1"/>
  <c r="H175" i="4" a="1"/>
  <c r="H175" i="4"/>
  <c r="H176" i="4" a="1"/>
  <c r="H176" i="4" s="1"/>
  <c r="H177" i="4" a="1"/>
  <c r="H177" i="4" s="1"/>
  <c r="H178" i="4" a="1"/>
  <c r="H178" i="4" s="1"/>
  <c r="H179" i="4" a="1"/>
  <c r="H179" i="4"/>
  <c r="H180" i="4" a="1"/>
  <c r="H180" i="4" s="1"/>
  <c r="H181" i="4" a="1"/>
  <c r="H181" i="4" s="1"/>
  <c r="H182" i="4" a="1"/>
  <c r="H182" i="4" s="1"/>
  <c r="H183" i="4" a="1"/>
  <c r="H183" i="4"/>
  <c r="H184" i="4" a="1"/>
  <c r="H184" i="4" s="1"/>
  <c r="H185" i="4" a="1"/>
  <c r="H185" i="4" s="1"/>
  <c r="H186" i="4" a="1"/>
  <c r="H186" i="4" s="1"/>
  <c r="H187" i="4" a="1"/>
  <c r="H187" i="4"/>
  <c r="H188" i="4" a="1"/>
  <c r="H188" i="4" s="1"/>
  <c r="H189" i="4" a="1"/>
  <c r="H189" i="4" s="1"/>
  <c r="H190" i="4" a="1"/>
  <c r="H190" i="4" s="1"/>
  <c r="H191" i="4" a="1"/>
  <c r="H191" i="4"/>
  <c r="H192" i="4" a="1"/>
  <c r="H192" i="4" s="1"/>
  <c r="H193" i="4" a="1"/>
  <c r="H193" i="4" s="1"/>
  <c r="H194" i="4" a="1"/>
  <c r="H194" i="4" s="1"/>
  <c r="H195" i="4" a="1"/>
  <c r="H195" i="4"/>
  <c r="H196" i="4" a="1"/>
  <c r="H196" i="4" s="1"/>
  <c r="H197" i="4" a="1"/>
  <c r="H197" i="4" s="1"/>
  <c r="H198" i="4" a="1"/>
  <c r="H198" i="4" s="1"/>
  <c r="H199" i="4" a="1"/>
  <c r="H199" i="4"/>
  <c r="H200" i="4" a="1"/>
  <c r="H200" i="4" s="1"/>
  <c r="H201" i="4" a="1"/>
  <c r="H201" i="4" s="1"/>
  <c r="H202" i="4" a="1"/>
  <c r="H202" i="4" s="1"/>
  <c r="H203" i="4" a="1"/>
  <c r="H203" i="4"/>
  <c r="H204" i="4" a="1"/>
  <c r="H204" i="4" s="1"/>
  <c r="H205" i="4" a="1"/>
  <c r="H205" i="4" s="1"/>
  <c r="H206" i="4" a="1"/>
  <c r="H206" i="4" s="1"/>
  <c r="H207" i="4" a="1"/>
  <c r="H207" i="4"/>
  <c r="H208" i="4" a="1"/>
  <c r="H208" i="4" s="1"/>
  <c r="H209" i="4" a="1"/>
  <c r="H209" i="4" s="1"/>
  <c r="H210" i="4" a="1"/>
  <c r="H210" i="4" s="1"/>
  <c r="H211" i="4" a="1"/>
  <c r="H211" i="4"/>
  <c r="H212" i="4" a="1"/>
  <c r="H212" i="4" s="1"/>
  <c r="H213" i="4" a="1"/>
  <c r="H213" i="4" s="1"/>
  <c r="H214" i="4" a="1"/>
  <c r="H214" i="4" s="1"/>
  <c r="H215" i="4" a="1"/>
  <c r="H215" i="4"/>
  <c r="H216" i="4" a="1"/>
  <c r="H216" i="4" s="1"/>
  <c r="H217" i="4" a="1"/>
  <c r="H217" i="4" s="1"/>
  <c r="H218" i="4" a="1"/>
  <c r="H218" i="4" s="1"/>
  <c r="H219" i="4" a="1"/>
  <c r="H219" i="4"/>
  <c r="H220" i="4" a="1"/>
  <c r="H220" i="4" s="1"/>
  <c r="H221" i="4" a="1"/>
  <c r="H221" i="4" s="1"/>
  <c r="H222" i="4" a="1"/>
  <c r="H222" i="4" s="1"/>
  <c r="H223" i="4" a="1"/>
  <c r="H223" i="4"/>
  <c r="H224" i="4" a="1"/>
  <c r="H224" i="4" s="1"/>
  <c r="H225" i="4" a="1"/>
  <c r="H225" i="4" s="1"/>
  <c r="H226" i="4" a="1"/>
  <c r="H226" i="4" s="1"/>
  <c r="H227" i="4" a="1"/>
  <c r="H227" i="4"/>
  <c r="H228" i="4" a="1"/>
  <c r="H228" i="4" s="1"/>
  <c r="H229" i="4" a="1"/>
  <c r="H229" i="4" s="1"/>
  <c r="H230" i="4" a="1"/>
  <c r="H230" i="4" s="1"/>
  <c r="H231" i="4" a="1"/>
  <c r="H231" i="4"/>
  <c r="H232" i="4" a="1"/>
  <c r="H232" i="4" s="1"/>
  <c r="H233" i="4" a="1"/>
  <c r="H233" i="4" s="1"/>
  <c r="H234" i="4" a="1"/>
  <c r="H234" i="4" s="1"/>
  <c r="H235" i="4" a="1"/>
  <c r="H235" i="4"/>
  <c r="H236" i="4" a="1"/>
  <c r="H236" i="4" s="1"/>
  <c r="H237" i="4" a="1"/>
  <c r="H237" i="4" s="1"/>
  <c r="H238" i="4" a="1"/>
  <c r="H238" i="4" s="1"/>
  <c r="H239" i="4" a="1"/>
  <c r="H239" i="4"/>
  <c r="H240" i="4" a="1"/>
  <c r="H240" i="4" s="1"/>
  <c r="H241" i="4" a="1"/>
  <c r="H241" i="4" s="1"/>
  <c r="H242" i="4" a="1"/>
  <c r="H242" i="4" s="1"/>
  <c r="H243" i="4" a="1"/>
  <c r="H243" i="4"/>
  <c r="H244" i="4" a="1"/>
  <c r="H244" i="4" s="1"/>
  <c r="H245" i="4" a="1"/>
  <c r="H245" i="4" s="1"/>
  <c r="H246" i="4" a="1"/>
  <c r="H246" i="4" s="1"/>
  <c r="H247" i="4" a="1"/>
  <c r="H247" i="4"/>
  <c r="H248" i="4" a="1"/>
  <c r="H248" i="4" s="1"/>
  <c r="H249" i="4" a="1"/>
  <c r="H249" i="4" s="1"/>
  <c r="H250" i="4" a="1"/>
  <c r="H250" i="4" s="1"/>
  <c r="H251" i="4" a="1"/>
  <c r="H251" i="4"/>
  <c r="H252" i="4" a="1"/>
  <c r="H252" i="4" s="1"/>
  <c r="H253" i="4" a="1"/>
  <c r="H253" i="4" s="1"/>
  <c r="H254" i="4" a="1"/>
  <c r="H254" i="4" s="1"/>
  <c r="H255" i="4" a="1"/>
  <c r="H255" i="4"/>
  <c r="H256" i="4" a="1"/>
  <c r="H256" i="4" s="1"/>
  <c r="H257" i="4" a="1"/>
  <c r="H257" i="4" s="1"/>
  <c r="H258" i="4" a="1"/>
  <c r="H258" i="4" s="1"/>
  <c r="H259" i="4" a="1"/>
  <c r="H259" i="4"/>
  <c r="H260" i="4" a="1"/>
  <c r="H260" i="4" s="1"/>
  <c r="H261" i="4" a="1"/>
  <c r="H261" i="4" s="1"/>
  <c r="H262" i="4" a="1"/>
  <c r="H262" i="4" s="1"/>
  <c r="H263" i="4" a="1"/>
  <c r="H263" i="4"/>
  <c r="H264" i="4" a="1"/>
  <c r="H264" i="4" s="1"/>
  <c r="H265" i="4" a="1"/>
  <c r="H265" i="4" s="1"/>
  <c r="H266" i="4" a="1"/>
  <c r="H266" i="4" s="1"/>
  <c r="H267" i="4" a="1"/>
  <c r="H267" i="4"/>
  <c r="H268" i="4" a="1"/>
  <c r="H268" i="4" s="1"/>
  <c r="H269" i="4" a="1"/>
  <c r="H269" i="4" s="1"/>
  <c r="H270" i="4" a="1"/>
  <c r="H270" i="4" s="1"/>
  <c r="H271" i="4" a="1"/>
  <c r="H271" i="4"/>
  <c r="H272" i="4" a="1"/>
  <c r="H272" i="4" s="1"/>
  <c r="H273" i="4" a="1"/>
  <c r="H273" i="4" s="1"/>
  <c r="H274" i="4" a="1"/>
  <c r="H274" i="4" s="1"/>
  <c r="H275" i="4" a="1"/>
  <c r="H275" i="4"/>
  <c r="H276" i="4" a="1"/>
  <c r="H276" i="4" s="1"/>
  <c r="H277" i="4" a="1"/>
  <c r="H277" i="4" s="1"/>
  <c r="H278" i="4" a="1"/>
  <c r="H278" i="4" s="1"/>
  <c r="H279" i="4" a="1"/>
  <c r="H279" i="4"/>
  <c r="H280" i="4" a="1"/>
  <c r="H280" i="4" s="1"/>
  <c r="H281" i="4" a="1"/>
  <c r="H281" i="4" s="1"/>
  <c r="H282" i="4" a="1"/>
  <c r="H282" i="4" s="1"/>
  <c r="H283" i="4" a="1"/>
  <c r="H283" i="4"/>
  <c r="H284" i="4" a="1"/>
  <c r="H284" i="4" s="1"/>
  <c r="H285" i="4" a="1"/>
  <c r="H285" i="4" s="1"/>
  <c r="H286" i="4" a="1"/>
  <c r="H286" i="4" s="1"/>
  <c r="H287" i="4" a="1"/>
  <c r="H287" i="4"/>
  <c r="H288" i="4" a="1"/>
  <c r="H288" i="4" s="1"/>
  <c r="H289" i="4" a="1"/>
  <c r="H289" i="4" s="1"/>
  <c r="H290" i="4" a="1"/>
  <c r="H290" i="4" s="1"/>
  <c r="H291" i="4" a="1"/>
  <c r="H291" i="4"/>
  <c r="H292" i="4" a="1"/>
  <c r="H292" i="4" s="1"/>
  <c r="H293" i="4" a="1"/>
  <c r="H293" i="4" s="1"/>
  <c r="H294" i="4" a="1"/>
  <c r="H294" i="4" s="1"/>
  <c r="H295" i="4" a="1"/>
  <c r="H295" i="4"/>
  <c r="H296" i="4" a="1"/>
  <c r="H296" i="4" s="1"/>
  <c r="H297" i="4" a="1"/>
  <c r="H297" i="4" s="1"/>
  <c r="H298" i="4" a="1"/>
  <c r="H298" i="4" s="1"/>
  <c r="H299" i="4" a="1"/>
  <c r="H299" i="4"/>
  <c r="H300" i="4" a="1"/>
  <c r="H300" i="4" s="1"/>
  <c r="H301" i="4" a="1"/>
  <c r="H301" i="4" s="1"/>
  <c r="H302" i="4" a="1"/>
  <c r="H302" i="4" s="1"/>
  <c r="H303" i="4" a="1"/>
  <c r="H303" i="4"/>
  <c r="H304" i="4" a="1"/>
  <c r="H304" i="4" s="1"/>
  <c r="H305" i="4" a="1"/>
  <c r="H305" i="4" s="1"/>
  <c r="H306" i="4" a="1"/>
  <c r="H306" i="4" s="1"/>
  <c r="H307" i="4" a="1"/>
  <c r="H307" i="4"/>
  <c r="H308" i="4" a="1"/>
  <c r="H308" i="4" s="1"/>
  <c r="H309" i="4" a="1"/>
  <c r="H309" i="4" s="1"/>
  <c r="H310" i="4" a="1"/>
  <c r="H310" i="4" s="1"/>
  <c r="H311" i="4" a="1"/>
  <c r="H311" i="4"/>
  <c r="H312" i="4" a="1"/>
  <c r="H312" i="4" s="1"/>
  <c r="H313" i="4" a="1"/>
  <c r="H313" i="4" s="1"/>
  <c r="H314" i="4" a="1"/>
  <c r="H314" i="4" s="1"/>
  <c r="H315" i="4" a="1"/>
  <c r="H315" i="4"/>
  <c r="H316" i="4" a="1"/>
  <c r="H316" i="4" s="1"/>
  <c r="H317" i="4" a="1"/>
  <c r="H317" i="4" s="1"/>
  <c r="H318" i="4" a="1"/>
  <c r="H318" i="4" s="1"/>
  <c r="H319" i="4" a="1"/>
  <c r="H319" i="4"/>
  <c r="H320" i="4" a="1"/>
  <c r="H320" i="4" s="1"/>
  <c r="H321" i="4" a="1"/>
  <c r="H321" i="4" s="1"/>
  <c r="H322" i="4" a="1"/>
  <c r="H322" i="4" s="1"/>
  <c r="H323" i="4" a="1"/>
  <c r="H323" i="4"/>
  <c r="H324" i="4" a="1"/>
  <c r="H324" i="4" s="1"/>
  <c r="H325" i="4" a="1"/>
  <c r="H325" i="4" s="1"/>
  <c r="H326" i="4" a="1"/>
  <c r="H326" i="4" s="1"/>
  <c r="H327" i="4" a="1"/>
  <c r="H327" i="4"/>
  <c r="H328" i="4" a="1"/>
  <c r="H328" i="4" s="1"/>
  <c r="H329" i="4" a="1"/>
  <c r="H329" i="4" s="1"/>
  <c r="H330" i="4" a="1"/>
  <c r="H330" i="4" s="1"/>
  <c r="H331" i="4" a="1"/>
  <c r="H331" i="4"/>
  <c r="H332" i="4" a="1"/>
  <c r="H332" i="4" s="1"/>
  <c r="H333" i="4" a="1"/>
  <c r="H333" i="4" s="1"/>
  <c r="H334" i="4" a="1"/>
  <c r="H334" i="4" s="1"/>
  <c r="H335" i="4" a="1"/>
  <c r="H335" i="4"/>
  <c r="H3" i="4" a="1"/>
  <c r="H3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B689" i="11"/>
  <c r="B690" i="11"/>
  <c r="B691" i="11"/>
  <c r="B692" i="11"/>
  <c r="B693" i="11"/>
  <c r="B694" i="11"/>
  <c r="B695" i="11"/>
  <c r="B696" i="11"/>
  <c r="C6" i="6" s="1"/>
  <c r="B697" i="11"/>
  <c r="B698" i="11"/>
  <c r="B699" i="11"/>
  <c r="B700" i="11"/>
  <c r="B701" i="11"/>
  <c r="B702" i="11"/>
  <c r="B688" i="11"/>
  <c r="C2" i="6"/>
  <c r="C3" i="6"/>
  <c r="C11" i="5"/>
  <c r="C10" i="5"/>
  <c r="C4" i="5"/>
  <c r="C5" i="5"/>
  <c r="C6" i="5"/>
  <c r="C7" i="5"/>
  <c r="C8" i="5"/>
  <c r="C9" i="5"/>
  <c r="C3" i="5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" i="4"/>
  <c r="C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<sst xmlns="http://schemas.openxmlformats.org/spreadsheetml/2006/main" count="427" uniqueCount="118">
  <si>
    <t>№</t>
  </si>
  <si>
    <t>Код города</t>
  </si>
  <si>
    <t>Название города</t>
  </si>
  <si>
    <t>Кол-во</t>
  </si>
  <si>
    <t>Цена</t>
  </si>
  <si>
    <t>Сумма</t>
  </si>
  <si>
    <t>Москва</t>
  </si>
  <si>
    <t>Санкт-Петербург</t>
  </si>
  <si>
    <t>Челябинск</t>
  </si>
  <si>
    <t>Статус</t>
  </si>
  <si>
    <t>Условие</t>
  </si>
  <si>
    <t>Казань</t>
  </si>
  <si>
    <t>Омск</t>
  </si>
  <si>
    <t>Харьков</t>
  </si>
  <si>
    <t>Йошкар-Ола</t>
  </si>
  <si>
    <t>A</t>
  </si>
  <si>
    <t>B</t>
  </si>
  <si>
    <t>C</t>
  </si>
  <si>
    <t>больше 10 млн</t>
  </si>
  <si>
    <t>меньше 5 млн</t>
  </si>
  <si>
    <t>от 5 млн до 10 млн</t>
  </si>
  <si>
    <t>№ п/п</t>
  </si>
  <si>
    <t>Задание</t>
  </si>
  <si>
    <t>Ответ</t>
  </si>
  <si>
    <t>ИТОГО</t>
  </si>
  <si>
    <t>Таблица 2 - Города</t>
  </si>
  <si>
    <t>Таблица 3 - Статусы</t>
  </si>
  <si>
    <t>Медиана</t>
  </si>
  <si>
    <t>В таблице 2 посчитайте суммы по каждому городу из таблицы 1.
В ответ запишите медианное значение среди полученных сумм.</t>
  </si>
  <si>
    <t>Проставьте в таблице 1 статус каждой строки из таблицы 3 в зависимости от стоимости.
В ответ запишите кол-во позиций, попавших в категорию "B".</t>
  </si>
  <si>
    <t>Уважаемый соискатель, добрый день.</t>
  </si>
  <si>
    <t>Удачи!</t>
  </si>
  <si>
    <t>Исходное</t>
  </si>
  <si>
    <t>Конечное</t>
  </si>
  <si>
    <t>Таблица 4 - Данные</t>
  </si>
  <si>
    <t>В первом столбце таблицы 4 есть набор данных, во втором столбце такой же набор данных за исключением 15 значений. Найдите значения в первом столбце, которых нет во втором.
В ответ запишите сумму потерянных значений.</t>
  </si>
  <si>
    <t>Таблица 1 - База</t>
  </si>
  <si>
    <t>Создайте лист "СВОД" и постройте сводную таблицу из таблицы 1, отражающую суммы по каждому городу и статусу.
Поле ответ оставьте пустым.</t>
  </si>
  <si>
    <t>В таблице 1 выделите строки (от столбца A до столбца G) со статусом "А" используя условное форматирование.
Поле ответ оставьте пустым.</t>
  </si>
  <si>
    <t>Дата</t>
  </si>
  <si>
    <t>Дата (new)</t>
  </si>
  <si>
    <t>Картинка</t>
  </si>
  <si>
    <t>В таблице 1 есть столбец "Дата". При построении сводной таблицы данные значения не считываются как даты. Используя стандартные средства Excel или VBA преобразуйте данные таким образом, чтобы получилась сводная таблица, представленная на рисунке. В значения поставьте сумму.
Решение покажите на листе "СВОД2".
Поле ответ оставьте пустым.</t>
  </si>
  <si>
    <t>Ответственный</t>
  </si>
  <si>
    <t>Ответственный (сокр)</t>
  </si>
  <si>
    <t>Абалтусова Вера Геннадьевна</t>
  </si>
  <si>
    <t>Анфалова Лилия Рузилевна</t>
  </si>
  <si>
    <t>Байбикова Наиля Миясяровна</t>
  </si>
  <si>
    <t>Бармина Юлия Анатольевна</t>
  </si>
  <si>
    <t>Барсукова Фаина Александровна</t>
  </si>
  <si>
    <t>Басова Светлана Сергеевна</t>
  </si>
  <si>
    <t>Васнин Валерий Викторович</t>
  </si>
  <si>
    <t>Власова Лариса Анатольевна</t>
  </si>
  <si>
    <t>Воробьева Юлия Александровна</t>
  </si>
  <si>
    <t>Голдобина Алевтина Владимировна</t>
  </si>
  <si>
    <t>Гордеева Александра Петровна</t>
  </si>
  <si>
    <t>Гребенева Татьяна Владимировна</t>
  </si>
  <si>
    <t>Гудошников Александр Владимирович</t>
  </si>
  <si>
    <t>Давыдова Татьяна Константиновна</t>
  </si>
  <si>
    <t>Демидова Елена Борисовна</t>
  </si>
  <si>
    <t>Дружинин Андрей Владимирович</t>
  </si>
  <si>
    <t>Дьякова Татьяна Аркадьевна</t>
  </si>
  <si>
    <t>Зубова Ирина Михайловна</t>
  </si>
  <si>
    <t>Зуева Елена Юрьевна</t>
  </si>
  <si>
    <t>Иванов Василий Геннадьевич</t>
  </si>
  <si>
    <t>Иванова Лидия Николаевна</t>
  </si>
  <si>
    <t>Ильина Татьяна Николаевна</t>
  </si>
  <si>
    <t>Исцелемова Светлана Александровна</t>
  </si>
  <si>
    <t>Кадырова Елена Анатольевна</t>
  </si>
  <si>
    <t>Каскеева Екатерина Алексеевна</t>
  </si>
  <si>
    <t>Каячева Маргарита Владиславовна</t>
  </si>
  <si>
    <t>Клепизонова Валентина Александровна</t>
  </si>
  <si>
    <t>Коновалов Петр Иванович</t>
  </si>
  <si>
    <t>Королев Алексей Михайлович</t>
  </si>
  <si>
    <t>Косикова Елена Александровна</t>
  </si>
  <si>
    <t>Крапивина Любовь Владимировна</t>
  </si>
  <si>
    <t>Лакеенков Дмитрий Владимирович</t>
  </si>
  <si>
    <t>Лоскутова Маргарита Валентиновна</t>
  </si>
  <si>
    <t>Лукашенко Александр Сергеевич</t>
  </si>
  <si>
    <t>Лыхина Тамара Алексеевна</t>
  </si>
  <si>
    <t>Макарова Нина Яковлевна</t>
  </si>
  <si>
    <t>Мамаева Ольга Юрьевна</t>
  </si>
  <si>
    <t>Меркушев Алексей Сергеевич</t>
  </si>
  <si>
    <t>Мец Владимир Петрович</t>
  </si>
  <si>
    <t>Минина Любовь Анатольевна</t>
  </si>
  <si>
    <t>Минина Татьяна Викторовна</t>
  </si>
  <si>
    <t>Неклюдова Ирина Ивановна</t>
  </si>
  <si>
    <t>Олифер Елена Руфимовна</t>
  </si>
  <si>
    <t>Ользатиева Людмила Геннадьевна</t>
  </si>
  <si>
    <t>Оносов Александр Геннадьевич</t>
  </si>
  <si>
    <t>Павлова Надежда Ивановна</t>
  </si>
  <si>
    <t>Паршакова Татьяна Леонтьевна</t>
  </si>
  <si>
    <t>Патрушева Вероника Вадимовна</t>
  </si>
  <si>
    <t>Пермякова Ольга Анатольевна</t>
  </si>
  <si>
    <t>Петрушкевич Ольга Васильевна</t>
  </si>
  <si>
    <t>Пиканов Владимир Петрович</t>
  </si>
  <si>
    <t>Подчуфарова Жанна Анатольевна</t>
  </si>
  <si>
    <t>Пономарева Светлана Викторовна</t>
  </si>
  <si>
    <t>Попова Антонина Алексеевна</t>
  </si>
  <si>
    <t>Скорректируйте ФИО в таблице 1 из вида "Фамилия Имя Отчество" в вид "Фамилия И.О." используя стандартные средства Excel или VBA.
Поле ответ оставьте пустым. Сохраните формулы в ячейках.</t>
  </si>
  <si>
    <t>Данные задачи призваны проверить ваши навыки Excel.</t>
  </si>
  <si>
    <t>Все задачи стандартные и решаются самыми обычными методами программы MS Excel.</t>
  </si>
  <si>
    <t>Для начала зайдите на лист "Задания".</t>
  </si>
  <si>
    <t>Обязательно сохраните все Ваши листы с расчётами, сводные таблицы, макросы и т.д. в этом файле</t>
  </si>
  <si>
    <t>Время выполнения всех заданий - 60 минут максимум (в идеале 10-15 мин).</t>
  </si>
  <si>
    <t>В таблицу 1 проставьте названия городов из таблицы 2 в соответствии с кодами городов, а также проставьте сумму по каждой строке.
В ответ запишите кол-во записей, по которым кол-во до 20 включительно, а сумма больше 750 тыс.руб.</t>
  </si>
  <si>
    <t>Названия строк</t>
  </si>
  <si>
    <t>Общий итог</t>
  </si>
  <si>
    <t>Сумма по полю Сумма</t>
  </si>
  <si>
    <t>Названия столбцов</t>
  </si>
  <si>
    <t>2013</t>
  </si>
  <si>
    <t>2014</t>
  </si>
  <si>
    <t>2015</t>
  </si>
  <si>
    <t>2016</t>
  </si>
  <si>
    <t>2017</t>
  </si>
  <si>
    <t>окт</t>
  </si>
  <si>
    <t>нояб</t>
  </si>
  <si>
    <t>дек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</si>
</sst>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р_._-;\-* #,##0.00_р_._-;_-* &quot;-&quot;??_р_._-;_-@_-"/>
    <numFmt numFmtId="165" formatCode="[$]d\ mmm\ yyyy\ &quot;г&quot;\.;@" x16r2:formatCode16="[$-ru-KZ,1]d\ mmm\ yyyy\ &quot;г&quot;\.;@"/>
  </numFmts>
  <fonts count="3" x14ac:knownFonts="1">
    <font>
      <sz val="10"/>
      <name val="Arial Cyr"/>
      <charset val="204"/>
    </font>
    <font>
      <sz val="10"/>
      <name val="Arial Cyr"/>
      <charset val="204"/>
    </font>
    <font>
      <b/>
      <sz val="10"/>
      <name val="Arial Cyr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0" borderId="1" xfId="0" applyBorder="1" applyAlignment="1">
      <alignment vertical="center"/>
    </xf>
    <xf numFmtId="164" fontId="0" fillId="0" borderId="1" xfId="1" applyFont="1" applyBorder="1" applyAlignment="1">
      <alignment horizontal="center"/>
    </xf>
    <xf numFmtId="164" fontId="0" fillId="0" borderId="0" xfId="1" applyFont="1" applyAlignment="1">
      <alignment horizont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vertical="center" wrapText="1"/>
    </xf>
    <xf numFmtId="164" fontId="0" fillId="0" borderId="1" xfId="1" applyFont="1" applyBorder="1" applyAlignment="1">
      <alignment horizontal="center" vertical="center"/>
    </xf>
    <xf numFmtId="164" fontId="0" fillId="0" borderId="0" xfId="1" applyFont="1" applyAlignment="1">
      <alignment vertical="center"/>
    </xf>
    <xf numFmtId="164" fontId="0" fillId="0" borderId="0" xfId="0" applyNumberFormat="1" applyAlignme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3" borderId="0" xfId="0" applyFill="1"/>
    <xf numFmtId="0" fontId="0" fillId="0" borderId="0" xfId="0" applyBorder="1"/>
    <xf numFmtId="0" fontId="0" fillId="5" borderId="0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5" borderId="7" xfId="0" applyFill="1" applyBorder="1" applyAlignment="1"/>
    <xf numFmtId="0" fontId="0" fillId="0" borderId="7" xfId="0" applyBorder="1" applyAlignment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5" borderId="8" xfId="0" applyFill="1" applyBorder="1"/>
    <xf numFmtId="0" fontId="0" fillId="0" borderId="1" xfId="0" applyBorder="1" applyAlignment="1">
      <alignment vertical="top" wrapText="1"/>
    </xf>
    <xf numFmtId="0" fontId="0" fillId="0" borderId="7" xfId="0" applyFill="1" applyBorder="1" applyAlignment="1"/>
    <xf numFmtId="0" fontId="0" fillId="0" borderId="0" xfId="0" applyFill="1" applyBorder="1"/>
    <xf numFmtId="0" fontId="0" fillId="0" borderId="8" xfId="0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3" xfId="0" applyBorder="1" applyAlignment="1">
      <alignment horizontal="center"/>
    </xf>
    <xf numFmtId="165" fontId="0" fillId="0" borderId="2" xfId="0" applyNumberFormat="1" applyBorder="1" applyAlignment="1">
      <alignment horizontal="center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164" fontId="2" fillId="2" borderId="13" xfId="1" applyFont="1" applyFill="1" applyBorder="1" applyAlignment="1">
      <alignment horizontal="center" vertical="center"/>
    </xf>
    <xf numFmtId="165" fontId="2" fillId="2" borderId="14" xfId="0" applyNumberFormat="1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16" xfId="0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164" fontId="0" fillId="0" borderId="16" xfId="1" applyFont="1" applyBorder="1" applyAlignment="1">
      <alignment horizontal="center"/>
    </xf>
    <xf numFmtId="165" fontId="0" fillId="0" borderId="17" xfId="0" applyNumberForma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</cellXfs>
  <cellStyles count="2">
    <cellStyle name="Обычный" xfId="0" builtinId="0"/>
    <cellStyle name="Финансовый" xfId="1" builtinId="3"/>
  </cellStyles>
  <dxfs count="17"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>
          <bgColor rgb="FFC00000"/>
        </patternFill>
      </fill>
    </dxf>
    <dxf>
      <numFmt numFmtId="165" formatCode="[$]d\ mmm\ yyyy\ &quot;г&quot;\.;@" x16r2:formatCode16="[$-ru-KZ,1]d\ mmm\ yyyy\ &quot;г&quot;\.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charset val="204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charset val="204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[$]d\ mmm\ yyyy\ &quot;г&quot;\.;@" x16r2:formatCode16="[$-ru-KZ,1]d\ mmm\ yyyy\ &quot;г&quot;\.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charset val="204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264969</xdr:colOff>
      <xdr:row>7</xdr:row>
      <xdr:rowOff>66675</xdr:rowOff>
    </xdr:from>
    <xdr:to>
      <xdr:col>3</xdr:col>
      <xdr:colOff>1484170</xdr:colOff>
      <xdr:row>7</xdr:row>
      <xdr:rowOff>3609976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354" t="26762" r="91978" b="38789"/>
        <a:stretch/>
      </xdr:blipFill>
      <xdr:spPr>
        <a:xfrm>
          <a:off x="8058151" y="2820266"/>
          <a:ext cx="1219201" cy="3543301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Админ" refreshedDate="46295.934456712966" createdVersion="8" refreshedVersion="8" minRefreshableVersion="3" recordCount="333" xr:uid="{E6AD4C61-1B45-4875-8E5E-B03ADEBE278B}">
  <cacheSource type="worksheet">
    <worksheetSource ref="A2:K335" sheet="БАЗА (1)"/>
  </cacheSource>
  <cacheFields count="11">
    <cacheField name="№" numFmtId="0">
      <sharedItems containsSemiMixedTypes="0" containsString="0" containsNumber="1" containsInteger="1" minValue="1" maxValue="333"/>
    </cacheField>
    <cacheField name="Код города" numFmtId="0">
      <sharedItems containsSemiMixedTypes="0" containsString="0" containsNumber="1" containsInteger="1" minValue="1" maxValue="7"/>
    </cacheField>
    <cacheField name="Название города" numFmtId="0">
      <sharedItems count="7">
        <s v="Харьков"/>
        <s v="Москва"/>
        <s v="Йошкар-Ола"/>
        <s v="Санкт-Петербург"/>
        <s v="Казань"/>
        <s v="Омск"/>
        <s v="Челябинск"/>
      </sharedItems>
    </cacheField>
    <cacheField name="Дата" numFmtId="0">
      <sharedItems count="192">
        <s v="27.10.2015"/>
        <s v="23.12.2013"/>
        <s v="15.12.2016"/>
        <s v="22.10.2015"/>
        <s v="14.10.2013"/>
        <s v="16.10.2014"/>
        <s v="15.10.2016"/>
        <s v="20.12.2013"/>
        <s v="16.10.2017"/>
        <s v="19.12.2014"/>
        <s v="26.11.2013"/>
        <s v="16.10.2016"/>
        <s v="10.10.2017"/>
        <s v="26.10.2015"/>
        <s v="11.12.2013"/>
        <s v="20.11.2014"/>
        <s v="20.11.2017"/>
        <s v="13.12.2017"/>
        <s v="21.11.2014"/>
        <s v="19.10.2017"/>
        <s v="20.12.2014"/>
        <s v="10.12.2013"/>
        <s v="10.10.2016"/>
        <s v="13.11.2015"/>
        <s v="24.12.2015"/>
        <s v="26.12.2016"/>
        <s v="19.12.2013"/>
        <s v="16.11.2014"/>
        <s v="14.10.2017"/>
        <s v="27.11.2016"/>
        <s v="19.11.2013"/>
        <s v="11.11.2015"/>
        <s v="24.11.2017"/>
        <s v="12.12.2016"/>
        <s v="12.12.2014"/>
        <s v="18.10.2013"/>
        <s v="12.10.2015"/>
        <s v="11.10.2015"/>
        <s v="11.10.2017"/>
        <s v="14.10.2015"/>
        <s v="18.12.2015"/>
        <s v="21.10.2013"/>
        <s v="15.12.2017"/>
        <s v="24.11.2013"/>
        <s v="20.12.2016"/>
        <s v="21.12.2014"/>
        <s v="20.11.2015"/>
        <s v="14.11.2015"/>
        <s v="22.10.2013"/>
        <s v="12.11.2014"/>
        <s v="21.10.2017"/>
        <s v="14.12.2017"/>
        <s v="26.12.2015"/>
        <s v="17.10.2013"/>
        <s v="10.10.2014"/>
        <s v="28.10.2016"/>
        <s v="18.11.2014"/>
        <s v="12.12.2017"/>
        <s v="27.12.2015"/>
        <s v="13.12.2014"/>
        <s v="14.11.2013"/>
        <s v="13.11.2014"/>
        <s v="20.10.2015"/>
        <s v="28.10.2014"/>
        <s v="21.10.2016"/>
        <s v="16.12.2014"/>
        <s v="28.11.2013"/>
        <s v="12.10.2013"/>
        <s v="23.11.2017"/>
        <s v="22.11.2016"/>
        <s v="20.11.2013"/>
        <s v="24.10.2016"/>
        <s v="13.11.2017"/>
        <s v="10.11.2017"/>
        <s v="28.10.2017"/>
        <s v="27.11.2017"/>
        <s v="26.11.2017"/>
        <s v="10.11.2014"/>
        <s v="14.12.2016"/>
        <s v="21.12.2013"/>
        <s v="24.12.2014"/>
        <s v="15.10.2014"/>
        <s v="14.11.2016"/>
        <s v="20.10.2014"/>
        <s v="27.12.2014"/>
        <s v="10.11.2013"/>
        <s v="17.10.2014"/>
        <s v="27.11.2014"/>
        <s v="25.11.2016"/>
        <s v="19.10.2013"/>
        <s v="17.10.2015"/>
        <s v="26.10.2017"/>
        <s v="13.12.2013"/>
        <s v="16.12.2017"/>
        <s v="28.11.2015"/>
        <s v="27.12.2016"/>
        <s v="25.12.2014"/>
        <s v="19.12.2017"/>
        <s v="22.10.2016"/>
        <s v="12.11.2016"/>
        <s v="22.11.2015"/>
        <s v="22.11.2017"/>
        <s v="10.10.2015"/>
        <s v="19.10.2016"/>
        <s v="24.12.2013"/>
        <s v="16.11.2015"/>
        <s v="25.10.2013"/>
        <s v="11.10.2014"/>
        <s v="25.12.2013"/>
        <s v="18.11.2015"/>
        <s v="15.10.2017"/>
        <s v="10.10.2013"/>
        <s v="15.11.2013"/>
        <s v="17.10.2017"/>
        <s v="15.11.2016"/>
        <s v="14.11.2017"/>
        <s v="12.11.2015"/>
        <s v="25.10.2017"/>
        <s v="11.11.2017"/>
        <s v="24.12.2016"/>
        <s v="28.11.2014"/>
        <s v="19.10.2015"/>
        <s v="22.12.2015"/>
        <s v="22.11.2014"/>
        <s v="14.12.2015"/>
        <s v="25.11.2017"/>
        <s v="13.11.2016"/>
        <s v="12.12.2015"/>
        <s v="20.10.2017"/>
        <s v="16.12.2015"/>
        <s v="19.11.2016"/>
        <s v="21.10.2014"/>
        <s v="20.10.2016"/>
        <s v="18.11.2013"/>
        <s v="23.12.2016"/>
        <s v="28.12.2017"/>
        <s v="26.11.2016"/>
        <s v="20.12.2015"/>
        <s v="23.10.2013"/>
        <s v="14.11.2014"/>
        <s v="19.12.2015"/>
        <s v="19.11.2014"/>
        <s v="16.11.2013"/>
        <s v="11.11.2013"/>
        <s v="25.12.2017"/>
        <s v="17.12.2017"/>
        <s v="15.10.2013"/>
        <s v="28.10.2015"/>
        <s v="11.10.2016"/>
        <s v="13.10.2016"/>
        <s v="26.10.2014"/>
        <s v="13.10.2015"/>
        <s v="15.12.2013"/>
        <s v="13.10.2017"/>
        <s v="23.10.2015"/>
        <s v="21.12.2017"/>
        <s v="26.10.2013"/>
        <s v="27.10.2014"/>
        <s v="26.12.2013"/>
        <s v="21.12.2016"/>
        <s v="18.10.2015"/>
        <s v="11.12.2015"/>
        <s v="23.11.2016"/>
        <s v="14.10.2016"/>
        <s v="19.12.2016"/>
        <s v="21.10.2015"/>
        <s v="26.12.2014"/>
        <s v="26.10.2016"/>
        <s v="27.12.2017"/>
        <s v="22.10.2014"/>
        <s v="17.12.2014"/>
        <s v="16.12.2016"/>
        <s v="11.11.2016"/>
        <s v="28.12.2014"/>
        <s v="25.10.2015"/>
        <s v="22.12.2017"/>
        <s v="15.11.2015"/>
        <s v="17.11.2015"/>
        <s v="11.12.2014"/>
        <s v="12.12.2013"/>
        <s v="17.11.2016"/>
        <s v="17.12.2015"/>
        <s v="15.10.2015"/>
        <s v="13.11.2013"/>
        <s v="15.11.2017"/>
        <s v="18.10.2017"/>
        <s v="13.10.2013"/>
        <s v="21.11.2017"/>
        <s v="21.11.2015"/>
        <s v="24.10.2014"/>
        <s v="25.11.2015"/>
        <s v="23.12.2017"/>
      </sharedItems>
    </cacheField>
    <cacheField name="Кол-во" numFmtId="0">
      <sharedItems containsSemiMixedTypes="0" containsString="0" containsNumber="1" containsInteger="1" minValue="2" maxValue="198"/>
    </cacheField>
    <cacheField name="Цена" numFmtId="164">
      <sharedItems containsSemiMixedTypes="0" containsString="0" containsNumber="1" containsInteger="1" minValue="2104" maxValue="99797"/>
    </cacheField>
    <cacheField name="Сумма" numFmtId="164">
      <sharedItems containsSemiMixedTypes="0" containsString="0" containsNumber="1" containsInteger="1" minValue="21698" maxValue="18599024"/>
    </cacheField>
    <cacheField name="Статус" numFmtId="0">
      <sharedItems count="3">
        <s v="A"/>
        <s v="B"/>
        <s v="C"/>
      </sharedItems>
    </cacheField>
    <cacheField name="Ответственный" numFmtId="0">
      <sharedItems/>
    </cacheField>
    <cacheField name="Ответственный (сокр)" numFmtId="0">
      <sharedItems/>
    </cacheField>
    <cacheField name="Дата (new)" numFmtId="14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Админ" refreshedDate="46295.987332523146" createdVersion="8" refreshedVersion="8" minRefreshableVersion="3" recordCount="333" xr:uid="{CEF14A9B-9E27-4011-A4B2-82D0C45A34F3}">
  <cacheSource type="worksheet">
    <worksheetSource name="Таблица1"/>
  </cacheSource>
  <cacheFields count="13">
    <cacheField name="№" numFmtId="0">
      <sharedItems containsSemiMixedTypes="0" containsString="0" containsNumber="1" containsInteger="1" minValue="1" maxValue="333"/>
    </cacheField>
    <cacheField name="Код города" numFmtId="0">
      <sharedItems containsSemiMixedTypes="0" containsString="0" containsNumber="1" containsInteger="1" minValue="1" maxValue="7"/>
    </cacheField>
    <cacheField name="Название города" numFmtId="0">
      <sharedItems/>
    </cacheField>
    <cacheField name="Дата" numFmtId="165">
      <sharedItems containsSemiMixedTypes="0" containsNonDate="0" containsDate="1" containsString="0" minDate="2013-10-10T00:00:00" maxDate="2017-12-29T00:00:00" count="192">
        <d v="2015-10-27T00:00:00"/>
        <d v="2013-12-23T00:00:00"/>
        <d v="2016-12-15T00:00:00"/>
        <d v="2015-10-22T00:00:00"/>
        <d v="2013-10-14T00:00:00"/>
        <d v="2014-10-16T00:00:00"/>
        <d v="2016-10-15T00:00:00"/>
        <d v="2013-12-20T00:00:00"/>
        <d v="2017-10-16T00:00:00"/>
        <d v="2014-12-19T00:00:00"/>
        <d v="2013-11-26T00:00:00"/>
        <d v="2016-10-16T00:00:00"/>
        <d v="2017-10-10T00:00:00"/>
        <d v="2015-10-26T00:00:00"/>
        <d v="2013-12-11T00:00:00"/>
        <d v="2014-11-20T00:00:00"/>
        <d v="2017-11-20T00:00:00"/>
        <d v="2017-12-13T00:00:00"/>
        <d v="2014-11-21T00:00:00"/>
        <d v="2017-10-19T00:00:00"/>
        <d v="2014-12-20T00:00:00"/>
        <d v="2013-12-10T00:00:00"/>
        <d v="2016-10-10T00:00:00"/>
        <d v="2015-11-13T00:00:00"/>
        <d v="2015-12-24T00:00:00"/>
        <d v="2016-12-26T00:00:00"/>
        <d v="2013-12-19T00:00:00"/>
        <d v="2014-11-16T00:00:00"/>
        <d v="2017-10-14T00:00:00"/>
        <d v="2016-11-27T00:00:00"/>
        <d v="2013-11-19T00:00:00"/>
        <d v="2015-11-11T00:00:00"/>
        <d v="2017-11-24T00:00:00"/>
        <d v="2016-12-12T00:00:00"/>
        <d v="2014-12-12T00:00:00"/>
        <d v="2013-10-18T00:00:00"/>
        <d v="2015-10-12T00:00:00"/>
        <d v="2015-10-11T00:00:00"/>
        <d v="2017-10-11T00:00:00"/>
        <d v="2015-10-14T00:00:00"/>
        <d v="2015-12-18T00:00:00"/>
        <d v="2013-10-21T00:00:00"/>
        <d v="2017-12-15T00:00:00"/>
        <d v="2013-11-24T00:00:00"/>
        <d v="2016-12-20T00:00:00"/>
        <d v="2014-12-21T00:00:00"/>
        <d v="2015-11-20T00:00:00"/>
        <d v="2015-11-14T00:00:00"/>
        <d v="2013-10-22T00:00:00"/>
        <d v="2014-11-12T00:00:00"/>
        <d v="2017-10-21T00:00:00"/>
        <d v="2017-12-14T00:00:00"/>
        <d v="2015-12-26T00:00:00"/>
        <d v="2013-10-17T00:00:00"/>
        <d v="2014-10-10T00:00:00"/>
        <d v="2016-10-28T00:00:00"/>
        <d v="2014-11-18T00:00:00"/>
        <d v="2017-12-12T00:00:00"/>
        <d v="2015-12-27T00:00:00"/>
        <d v="2014-12-13T00:00:00"/>
        <d v="2013-11-14T00:00:00"/>
        <d v="2014-11-13T00:00:00"/>
        <d v="2015-10-20T00:00:00"/>
        <d v="2014-10-28T00:00:00"/>
        <d v="2016-10-21T00:00:00"/>
        <d v="2014-12-16T00:00:00"/>
        <d v="2013-11-28T00:00:00"/>
        <d v="2013-10-12T00:00:00"/>
        <d v="2017-11-23T00:00:00"/>
        <d v="2016-11-22T00:00:00"/>
        <d v="2013-11-20T00:00:00"/>
        <d v="2016-10-24T00:00:00"/>
        <d v="2017-11-13T00:00:00"/>
        <d v="2017-11-10T00:00:00"/>
        <d v="2017-10-28T00:00:00"/>
        <d v="2017-11-27T00:00:00"/>
        <d v="2017-11-26T00:00:00"/>
        <d v="2014-11-10T00:00:00"/>
        <d v="2016-12-14T00:00:00"/>
        <d v="2013-12-21T00:00:00"/>
        <d v="2014-12-24T00:00:00"/>
        <d v="2014-10-15T00:00:00"/>
        <d v="2016-11-14T00:00:00"/>
        <d v="2014-10-20T00:00:00"/>
        <d v="2014-12-27T00:00:00"/>
        <d v="2013-11-10T00:00:00"/>
        <d v="2014-10-17T00:00:00"/>
        <d v="2014-11-27T00:00:00"/>
        <d v="2016-11-25T00:00:00"/>
        <d v="2013-10-19T00:00:00"/>
        <d v="2015-10-17T00:00:00"/>
        <d v="2017-10-26T00:00:00"/>
        <d v="2013-12-13T00:00:00"/>
        <d v="2017-12-16T00:00:00"/>
        <d v="2015-11-28T00:00:00"/>
        <d v="2016-12-27T00:00:00"/>
        <d v="2014-12-25T00:00:00"/>
        <d v="2017-12-19T00:00:00"/>
        <d v="2016-10-22T00:00:00"/>
        <d v="2016-11-12T00:00:00"/>
        <d v="2015-11-22T00:00:00"/>
        <d v="2017-11-22T00:00:00"/>
        <d v="2015-10-10T00:00:00"/>
        <d v="2016-10-19T00:00:00"/>
        <d v="2013-12-24T00:00:00"/>
        <d v="2015-11-16T00:00:00"/>
        <d v="2013-10-25T00:00:00"/>
        <d v="2014-10-11T00:00:00"/>
        <d v="2013-12-25T00:00:00"/>
        <d v="2015-11-18T00:00:00"/>
        <d v="2017-10-15T00:00:00"/>
        <d v="2013-10-10T00:00:00"/>
        <d v="2013-11-15T00:00:00"/>
        <d v="2017-10-17T00:00:00"/>
        <d v="2016-11-15T00:00:00"/>
        <d v="2017-11-14T00:00:00"/>
        <d v="2015-11-12T00:00:00"/>
        <d v="2017-10-25T00:00:00"/>
        <d v="2017-11-11T00:00:00"/>
        <d v="2016-12-24T00:00:00"/>
        <d v="2014-11-28T00:00:00"/>
        <d v="2015-10-19T00:00:00"/>
        <d v="2015-12-22T00:00:00"/>
        <d v="2014-11-22T00:00:00"/>
        <d v="2015-12-14T00:00:00"/>
        <d v="2017-11-25T00:00:00"/>
        <d v="2016-11-13T00:00:00"/>
        <d v="2015-12-12T00:00:00"/>
        <d v="2017-10-20T00:00:00"/>
        <d v="2015-12-16T00:00:00"/>
        <d v="2016-11-19T00:00:00"/>
        <d v="2014-10-21T00:00:00"/>
        <d v="2016-10-20T00:00:00"/>
        <d v="2013-11-18T00:00:00"/>
        <d v="2016-12-23T00:00:00"/>
        <d v="2017-12-28T00:00:00"/>
        <d v="2016-11-26T00:00:00"/>
        <d v="2015-12-20T00:00:00"/>
        <d v="2013-10-23T00:00:00"/>
        <d v="2014-11-14T00:00:00"/>
        <d v="2015-12-19T00:00:00"/>
        <d v="2014-11-19T00:00:00"/>
        <d v="2013-11-16T00:00:00"/>
        <d v="2013-11-11T00:00:00"/>
        <d v="2017-12-25T00:00:00"/>
        <d v="2017-12-17T00:00:00"/>
        <d v="2013-10-15T00:00:00"/>
        <d v="2015-10-28T00:00:00"/>
        <d v="2016-10-11T00:00:00"/>
        <d v="2016-10-13T00:00:00"/>
        <d v="2014-10-26T00:00:00"/>
        <d v="2015-10-13T00:00:00"/>
        <d v="2013-12-15T00:00:00"/>
        <d v="2017-10-13T00:00:00"/>
        <d v="2015-10-23T00:00:00"/>
        <d v="2017-12-21T00:00:00"/>
        <d v="2013-10-26T00:00:00"/>
        <d v="2014-10-27T00:00:00"/>
        <d v="2013-12-26T00:00:00"/>
        <d v="2016-12-21T00:00:00"/>
        <d v="2015-10-18T00:00:00"/>
        <d v="2015-12-11T00:00:00"/>
        <d v="2016-11-23T00:00:00"/>
        <d v="2016-10-14T00:00:00"/>
        <d v="2016-12-19T00:00:00"/>
        <d v="2015-10-21T00:00:00"/>
        <d v="2014-12-26T00:00:00"/>
        <d v="2016-10-26T00:00:00"/>
        <d v="2017-12-27T00:00:00"/>
        <d v="2014-10-22T00:00:00"/>
        <d v="2014-12-17T00:00:00"/>
        <d v="2016-12-16T00:00:00"/>
        <d v="2016-11-11T00:00:00"/>
        <d v="2014-12-28T00:00:00"/>
        <d v="2015-10-25T00:00:00"/>
        <d v="2017-12-22T00:00:00"/>
        <d v="2015-11-15T00:00:00"/>
        <d v="2015-11-17T00:00:00"/>
        <d v="2014-12-11T00:00:00"/>
        <d v="2013-12-12T00:00:00"/>
        <d v="2016-11-17T00:00:00"/>
        <d v="2015-12-17T00:00:00"/>
        <d v="2015-10-15T00:00:00"/>
        <d v="2013-11-13T00:00:00"/>
        <d v="2017-11-15T00:00:00"/>
        <d v="2017-10-18T00:00:00"/>
        <d v="2013-10-13T00:00:00"/>
        <d v="2017-11-21T00:00:00"/>
        <d v="2015-11-21T00:00:00"/>
        <d v="2014-10-24T00:00:00"/>
        <d v="2015-11-25T00:00:00"/>
        <d v="2017-12-23T00:00:00"/>
      </sharedItems>
      <fieldGroup par="12"/>
    </cacheField>
    <cacheField name="Кол-во" numFmtId="0">
      <sharedItems containsSemiMixedTypes="0" containsString="0" containsNumber="1" containsInteger="1" minValue="2" maxValue="198"/>
    </cacheField>
    <cacheField name="Цена" numFmtId="164">
      <sharedItems containsSemiMixedTypes="0" containsString="0" containsNumber="1" containsInteger="1" minValue="2104" maxValue="99797"/>
    </cacheField>
    <cacheField name="Сумма" numFmtId="164">
      <sharedItems containsSemiMixedTypes="0" containsString="0" containsNumber="1" containsInteger="1" minValue="21698" maxValue="18599024"/>
    </cacheField>
    <cacheField name="Статус" numFmtId="0">
      <sharedItems/>
    </cacheField>
    <cacheField name="Ответственный" numFmtId="0">
      <sharedItems/>
    </cacheField>
    <cacheField name="Ответственный (сокр)" numFmtId="0">
      <sharedItems/>
    </cacheField>
    <cacheField name="Дата (new)" numFmtId="165">
      <sharedItems containsSemiMixedTypes="0" containsNonDate="0" containsDate="1" containsString="0" minDate="2013-10-10T00:00:00" maxDate="2017-12-29T00:00:00"/>
    </cacheField>
    <cacheField name="Месяцы (Дата)" numFmtId="0" databaseField="0">
      <fieldGroup base="3">
        <rangePr groupBy="months" startDate="2013-10-10T00:00:00" endDate="2017-12-29T00:00:00"/>
        <groupItems count="14">
          <s v="&lt;10.10.2013"/>
          <s v="янв"/>
          <s v="февр"/>
          <s v="март"/>
          <s v="апр"/>
          <s v="май"/>
          <s v="июнь"/>
          <s v="июль"/>
          <s v="авг"/>
          <s v="сент"/>
          <s v="окт"/>
          <s v="нояб"/>
          <s v="дек"/>
          <s v="&gt;29.12.2017"/>
        </groupItems>
      </fieldGroup>
    </cacheField>
    <cacheField name="Годы (Дата)" numFmtId="0" databaseField="0">
      <fieldGroup base="3">
        <rangePr groupBy="years" startDate="2013-10-10T00:00:00" endDate="2017-12-29T00:00:00"/>
        <groupItems count="7">
          <s v="&lt;10.10.2013"/>
          <s v="2013"/>
          <s v="2014"/>
          <s v="2015"/>
          <s v="2016"/>
          <s v="2017"/>
          <s v="&gt;29.12.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3">
  <r>
    <n v="1"/>
    <n v="6"/>
    <x v="0"/>
    <x v="0"/>
    <n v="22"/>
    <n v="59432"/>
    <n v="1307504"/>
    <x v="0"/>
    <s v="Олифер Елена Руфимовна"/>
    <s v="Олифер Е. Р."/>
    <x v="0"/>
  </r>
  <r>
    <n v="2"/>
    <n v="1"/>
    <x v="1"/>
    <x v="1"/>
    <n v="197"/>
    <n v="30235"/>
    <n v="5956295"/>
    <x v="1"/>
    <s v="Гудошников Александр Владимирович"/>
    <s v="Гудошников А. В."/>
    <x v="0"/>
  </r>
  <r>
    <n v="3"/>
    <n v="6"/>
    <x v="0"/>
    <x v="2"/>
    <n v="186"/>
    <n v="29755"/>
    <n v="5534430"/>
    <x v="1"/>
    <s v="Каячева Маргарита Владиславовна"/>
    <s v="Каячева М. В."/>
    <x v="0"/>
  </r>
  <r>
    <n v="4"/>
    <n v="7"/>
    <x v="2"/>
    <x v="3"/>
    <n v="50"/>
    <n v="79752"/>
    <n v="3987600"/>
    <x v="0"/>
    <s v="Пиканов Владимир Петрович"/>
    <s v="Пиканов В. П."/>
    <x v="0"/>
  </r>
  <r>
    <n v="5"/>
    <n v="2"/>
    <x v="3"/>
    <x v="4"/>
    <n v="76"/>
    <n v="85545"/>
    <n v="6501420"/>
    <x v="1"/>
    <s v="Васнин Валерий Викторович"/>
    <s v="Васнин В. В."/>
    <x v="0"/>
  </r>
  <r>
    <n v="6"/>
    <n v="1"/>
    <x v="1"/>
    <x v="5"/>
    <n v="190"/>
    <n v="87135"/>
    <n v="16555650"/>
    <x v="2"/>
    <s v="Иванов Василий Геннадьевич"/>
    <s v="Иванов В. Г."/>
    <x v="0"/>
  </r>
  <r>
    <n v="7"/>
    <n v="4"/>
    <x v="4"/>
    <x v="6"/>
    <n v="126"/>
    <n v="76019"/>
    <n v="9578394"/>
    <x v="1"/>
    <s v="Исцелемова Светлана Александровна"/>
    <s v="Исцелемова С. А."/>
    <x v="0"/>
  </r>
  <r>
    <n v="8"/>
    <n v="5"/>
    <x v="5"/>
    <x v="7"/>
    <n v="186"/>
    <n v="96610"/>
    <n v="17969460"/>
    <x v="2"/>
    <s v="Попова Антонина Алексеевна"/>
    <s v="Попова А. А."/>
    <x v="0"/>
  </r>
  <r>
    <n v="9"/>
    <n v="3"/>
    <x v="6"/>
    <x v="8"/>
    <n v="139"/>
    <n v="66796"/>
    <n v="9284644"/>
    <x v="1"/>
    <s v="Лакеенков Дмитрий Владимирович"/>
    <s v="Лакеенков Д. В."/>
    <x v="0"/>
  </r>
  <r>
    <n v="10"/>
    <n v="5"/>
    <x v="5"/>
    <x v="9"/>
    <n v="34"/>
    <n v="51879"/>
    <n v="1763886"/>
    <x v="0"/>
    <s v="Пиканов Владимир Петрович"/>
    <s v="Пиканов В. П."/>
    <x v="0"/>
  </r>
  <r>
    <n v="11"/>
    <n v="1"/>
    <x v="1"/>
    <x v="10"/>
    <n v="94"/>
    <n v="23469"/>
    <n v="2206086"/>
    <x v="0"/>
    <s v="Макарова Нина Яковлевна"/>
    <s v="Макарова Н. Я."/>
    <x v="0"/>
  </r>
  <r>
    <n v="12"/>
    <n v="7"/>
    <x v="2"/>
    <x v="11"/>
    <n v="82"/>
    <n v="61458"/>
    <n v="5039556"/>
    <x v="1"/>
    <s v="Минина Татьяна Викторовна"/>
    <s v="Минина Т. В."/>
    <x v="0"/>
  </r>
  <r>
    <n v="13"/>
    <n v="2"/>
    <x v="3"/>
    <x v="12"/>
    <n v="164"/>
    <n v="16045"/>
    <n v="2631380"/>
    <x v="0"/>
    <s v="Дружинин Андрей Владимирович"/>
    <s v="Дружинин А. В."/>
    <x v="0"/>
  </r>
  <r>
    <n v="14"/>
    <n v="1"/>
    <x v="1"/>
    <x v="13"/>
    <n v="6"/>
    <n v="70254"/>
    <n v="421524"/>
    <x v="0"/>
    <s v="Королев Алексей Михайлович"/>
    <s v="Королев А. М."/>
    <x v="0"/>
  </r>
  <r>
    <n v="15"/>
    <n v="7"/>
    <x v="2"/>
    <x v="14"/>
    <n v="118"/>
    <n v="22242"/>
    <n v="2624556"/>
    <x v="0"/>
    <s v="Лоскутова Маргарита Валентиновна"/>
    <s v="Лоскутова М. В."/>
    <x v="0"/>
  </r>
  <r>
    <n v="16"/>
    <n v="3"/>
    <x v="6"/>
    <x v="15"/>
    <n v="133"/>
    <n v="58595"/>
    <n v="7793135"/>
    <x v="1"/>
    <s v="Попова Антонина Алексеевна"/>
    <s v="Попова А. А."/>
    <x v="0"/>
  </r>
  <r>
    <n v="17"/>
    <n v="4"/>
    <x v="4"/>
    <x v="16"/>
    <n v="191"/>
    <n v="80676"/>
    <n v="15409116"/>
    <x v="2"/>
    <s v="Каячева Маргарита Владиславовна"/>
    <s v="Каячева М. В."/>
    <x v="0"/>
  </r>
  <r>
    <n v="18"/>
    <n v="4"/>
    <x v="4"/>
    <x v="17"/>
    <n v="166"/>
    <n v="12316"/>
    <n v="2044456"/>
    <x v="0"/>
    <s v="Коновалов Петр Иванович"/>
    <s v="Коновалов П. И."/>
    <x v="0"/>
  </r>
  <r>
    <n v="19"/>
    <n v="1"/>
    <x v="1"/>
    <x v="15"/>
    <n v="108"/>
    <n v="6913"/>
    <n v="746604"/>
    <x v="0"/>
    <s v="Байбикова Наиля Миясяровна"/>
    <s v="Байбикова Н. М."/>
    <x v="0"/>
  </r>
  <r>
    <n v="20"/>
    <n v="4"/>
    <x v="4"/>
    <x v="18"/>
    <n v="44"/>
    <n v="8031"/>
    <n v="353364"/>
    <x v="0"/>
    <s v="Абалтусова Вера Геннадьевна"/>
    <s v="Абалтусова В. Г."/>
    <x v="0"/>
  </r>
  <r>
    <n v="21"/>
    <n v="1"/>
    <x v="1"/>
    <x v="19"/>
    <n v="114"/>
    <n v="34727"/>
    <n v="3958878"/>
    <x v="0"/>
    <s v="Оносов Александр Геннадьевич"/>
    <s v="Оносов А. Г."/>
    <x v="0"/>
  </r>
  <r>
    <n v="22"/>
    <n v="2"/>
    <x v="3"/>
    <x v="20"/>
    <n v="189"/>
    <n v="34166"/>
    <n v="6457374"/>
    <x v="1"/>
    <s v="Абалтусова Вера Геннадьевна"/>
    <s v="Абалтусова В. Г."/>
    <x v="0"/>
  </r>
  <r>
    <n v="23"/>
    <n v="1"/>
    <x v="1"/>
    <x v="21"/>
    <n v="102"/>
    <n v="84120"/>
    <n v="8580240"/>
    <x v="1"/>
    <s v="Мец Владимир Петрович"/>
    <s v="Мец В. П."/>
    <x v="0"/>
  </r>
  <r>
    <n v="24"/>
    <n v="3"/>
    <x v="6"/>
    <x v="22"/>
    <n v="42"/>
    <n v="85888"/>
    <n v="3607296"/>
    <x v="0"/>
    <s v="Петрушкевич Ольга Васильевна"/>
    <s v="Петрушкевич О. В."/>
    <x v="0"/>
  </r>
  <r>
    <n v="25"/>
    <n v="3"/>
    <x v="6"/>
    <x v="23"/>
    <n v="135"/>
    <n v="65737"/>
    <n v="8874495"/>
    <x v="1"/>
    <s v="Коновалов Петр Иванович"/>
    <s v="Коновалов П. И."/>
    <x v="0"/>
  </r>
  <r>
    <n v="26"/>
    <n v="2"/>
    <x v="3"/>
    <x v="24"/>
    <n v="110"/>
    <n v="14139"/>
    <n v="1555290"/>
    <x v="0"/>
    <s v="Зуева Елена Юрьевна"/>
    <s v="Зуева Е. Ю."/>
    <x v="0"/>
  </r>
  <r>
    <n v="27"/>
    <n v="3"/>
    <x v="6"/>
    <x v="25"/>
    <n v="82"/>
    <n v="48019"/>
    <n v="3937558"/>
    <x v="0"/>
    <s v="Минина Татьяна Викторовна"/>
    <s v="Минина Т. В."/>
    <x v="0"/>
  </r>
  <r>
    <n v="28"/>
    <n v="5"/>
    <x v="5"/>
    <x v="26"/>
    <n v="30"/>
    <n v="34286"/>
    <n v="1028580"/>
    <x v="0"/>
    <s v="Демидова Елена Борисовна"/>
    <s v="Демидова Е. Б."/>
    <x v="0"/>
  </r>
  <r>
    <n v="29"/>
    <n v="1"/>
    <x v="1"/>
    <x v="27"/>
    <n v="52"/>
    <n v="42098"/>
    <n v="2189096"/>
    <x v="0"/>
    <s v="Лакеенков Дмитрий Владимирович"/>
    <s v="Лакеенков Д. В."/>
    <x v="0"/>
  </r>
  <r>
    <n v="30"/>
    <n v="1"/>
    <x v="1"/>
    <x v="2"/>
    <n v="156"/>
    <n v="98308"/>
    <n v="15336048"/>
    <x v="2"/>
    <s v="Минина Татьяна Викторовна"/>
    <s v="Минина Т. В."/>
    <x v="0"/>
  </r>
  <r>
    <n v="31"/>
    <n v="4"/>
    <x v="4"/>
    <x v="28"/>
    <n v="124"/>
    <n v="60741"/>
    <n v="7531884"/>
    <x v="1"/>
    <s v="Меркушев Алексей Сергеевич"/>
    <s v="Меркушев А. С."/>
    <x v="0"/>
  </r>
  <r>
    <n v="32"/>
    <n v="5"/>
    <x v="5"/>
    <x v="19"/>
    <n v="111"/>
    <n v="94566"/>
    <n v="10496826"/>
    <x v="2"/>
    <s v="Ильина Татьяна Николаевна"/>
    <s v="Ильина Т. Н."/>
    <x v="0"/>
  </r>
  <r>
    <n v="33"/>
    <n v="1"/>
    <x v="1"/>
    <x v="29"/>
    <n v="50"/>
    <n v="86217"/>
    <n v="4310850"/>
    <x v="0"/>
    <s v="Дьякова Татьяна Аркадьевна"/>
    <s v="Дьякова Т. А."/>
    <x v="0"/>
  </r>
  <r>
    <n v="34"/>
    <n v="3"/>
    <x v="6"/>
    <x v="29"/>
    <n v="82"/>
    <n v="31676"/>
    <n v="2597432"/>
    <x v="0"/>
    <s v="Иванов Василий Геннадьевич"/>
    <s v="Иванов В. Г."/>
    <x v="0"/>
  </r>
  <r>
    <n v="35"/>
    <n v="5"/>
    <x v="5"/>
    <x v="30"/>
    <n v="39"/>
    <n v="52864"/>
    <n v="2061696"/>
    <x v="0"/>
    <s v="Иванова Лидия Николаевна"/>
    <s v="Иванова Л. Н."/>
    <x v="0"/>
  </r>
  <r>
    <n v="36"/>
    <n v="5"/>
    <x v="5"/>
    <x v="31"/>
    <n v="57"/>
    <n v="81929"/>
    <n v="4669953"/>
    <x v="0"/>
    <s v="Клепизонова Валентина Александровна"/>
    <s v="Клепизонова В. А."/>
    <x v="0"/>
  </r>
  <r>
    <n v="37"/>
    <n v="5"/>
    <x v="5"/>
    <x v="32"/>
    <n v="50"/>
    <n v="59677"/>
    <n v="2983850"/>
    <x v="0"/>
    <s v="Королев Алексей Михайлович"/>
    <s v="Королев А. М."/>
    <x v="0"/>
  </r>
  <r>
    <n v="38"/>
    <n v="1"/>
    <x v="1"/>
    <x v="33"/>
    <n v="18"/>
    <n v="47034"/>
    <n v="846612"/>
    <x v="0"/>
    <s v="Каскеева Екатерина Алексеевна"/>
    <s v="Каскеева Е. А."/>
    <x v="0"/>
  </r>
  <r>
    <n v="39"/>
    <n v="6"/>
    <x v="0"/>
    <x v="34"/>
    <n v="169"/>
    <n v="63847"/>
    <n v="10790143"/>
    <x v="2"/>
    <s v="Павлова Надежда Ивановна"/>
    <s v="Павлова Н. И."/>
    <x v="0"/>
  </r>
  <r>
    <n v="40"/>
    <n v="6"/>
    <x v="0"/>
    <x v="35"/>
    <n v="195"/>
    <n v="93598"/>
    <n v="18251610"/>
    <x v="2"/>
    <s v="Мец Владимир Петрович"/>
    <s v="Мец В. П."/>
    <x v="0"/>
  </r>
  <r>
    <n v="41"/>
    <n v="7"/>
    <x v="2"/>
    <x v="36"/>
    <n v="104"/>
    <n v="44828"/>
    <n v="4662112"/>
    <x v="0"/>
    <s v="Петрушкевич Ольга Васильевна"/>
    <s v="Петрушкевич О. В."/>
    <x v="0"/>
  </r>
  <r>
    <n v="42"/>
    <n v="6"/>
    <x v="0"/>
    <x v="37"/>
    <n v="84"/>
    <n v="89621"/>
    <n v="7528164"/>
    <x v="1"/>
    <s v="Исцелемова Светлана Александровна"/>
    <s v="Исцелемова С. А."/>
    <x v="0"/>
  </r>
  <r>
    <n v="43"/>
    <n v="3"/>
    <x v="6"/>
    <x v="38"/>
    <n v="78"/>
    <n v="23480"/>
    <n v="1831440"/>
    <x v="0"/>
    <s v="Клепизонова Валентина Александровна"/>
    <s v="Клепизонова В. А."/>
    <x v="0"/>
  </r>
  <r>
    <n v="44"/>
    <n v="6"/>
    <x v="0"/>
    <x v="39"/>
    <n v="161"/>
    <n v="32002"/>
    <n v="5152322"/>
    <x v="1"/>
    <s v="Васнин Валерий Викторович"/>
    <s v="Васнин В. В."/>
    <x v="0"/>
  </r>
  <r>
    <n v="45"/>
    <n v="2"/>
    <x v="3"/>
    <x v="40"/>
    <n v="184"/>
    <n v="33769"/>
    <n v="6213496"/>
    <x v="1"/>
    <s v="Бармина Юлия Анатольевна"/>
    <s v="Бармина Ю. А."/>
    <x v="0"/>
  </r>
  <r>
    <n v="46"/>
    <n v="7"/>
    <x v="2"/>
    <x v="41"/>
    <n v="81"/>
    <n v="96172"/>
    <n v="7789932"/>
    <x v="1"/>
    <s v="Королев Алексей Михайлович"/>
    <s v="Королев А. М."/>
    <x v="0"/>
  </r>
  <r>
    <n v="47"/>
    <n v="3"/>
    <x v="6"/>
    <x v="42"/>
    <n v="155"/>
    <n v="16996"/>
    <n v="2634380"/>
    <x v="0"/>
    <s v="Гудошников Александр Владимирович"/>
    <s v="Гудошников А. В."/>
    <x v="0"/>
  </r>
  <r>
    <n v="48"/>
    <n v="6"/>
    <x v="0"/>
    <x v="43"/>
    <n v="125"/>
    <n v="24015"/>
    <n v="3001875"/>
    <x v="0"/>
    <s v="Голдобина Алевтина Владимировна"/>
    <s v="Голдобина А. В."/>
    <x v="0"/>
  </r>
  <r>
    <n v="49"/>
    <n v="2"/>
    <x v="3"/>
    <x v="44"/>
    <n v="129"/>
    <n v="80267"/>
    <n v="10354443"/>
    <x v="2"/>
    <s v="Каячева Маргарита Владиславовна"/>
    <s v="Каячева М. В."/>
    <x v="0"/>
  </r>
  <r>
    <n v="50"/>
    <n v="1"/>
    <x v="1"/>
    <x v="45"/>
    <n v="34"/>
    <n v="36460"/>
    <n v="1239640"/>
    <x v="0"/>
    <s v="Давыдова Татьяна Константиновна"/>
    <s v="Давыдова Т. К."/>
    <x v="0"/>
  </r>
  <r>
    <n v="51"/>
    <n v="6"/>
    <x v="0"/>
    <x v="46"/>
    <n v="82"/>
    <n v="63434"/>
    <n v="5201588"/>
    <x v="1"/>
    <s v="Подчуфарова Жанна Анатольевна"/>
    <s v="Подчуфарова Ж. А."/>
    <x v="0"/>
  </r>
  <r>
    <n v="52"/>
    <n v="3"/>
    <x v="6"/>
    <x v="47"/>
    <n v="81"/>
    <n v="2425"/>
    <n v="196425"/>
    <x v="0"/>
    <s v="Клепизонова Валентина Александровна"/>
    <s v="Клепизонова В. А."/>
    <x v="0"/>
  </r>
  <r>
    <n v="53"/>
    <n v="5"/>
    <x v="5"/>
    <x v="33"/>
    <n v="168"/>
    <n v="85114"/>
    <n v="14299152"/>
    <x v="2"/>
    <s v="Дьякова Татьяна Аркадьевна"/>
    <s v="Дьякова Т. А."/>
    <x v="0"/>
  </r>
  <r>
    <n v="54"/>
    <n v="3"/>
    <x v="6"/>
    <x v="48"/>
    <n v="39"/>
    <n v="17248"/>
    <n v="672672"/>
    <x v="0"/>
    <s v="Лакеенков Дмитрий Владимирович"/>
    <s v="Лакеенков Д. В."/>
    <x v="0"/>
  </r>
  <r>
    <n v="55"/>
    <n v="7"/>
    <x v="2"/>
    <x v="49"/>
    <n v="5"/>
    <n v="88309"/>
    <n v="441545"/>
    <x v="0"/>
    <s v="Барсукова Фаина Александровна"/>
    <s v="Барсукова Ф. А."/>
    <x v="0"/>
  </r>
  <r>
    <n v="56"/>
    <n v="7"/>
    <x v="2"/>
    <x v="50"/>
    <n v="173"/>
    <n v="40962"/>
    <n v="7086426"/>
    <x v="1"/>
    <s v="Пономарева Светлана Викторовна"/>
    <s v="Пономарева С. В."/>
    <x v="0"/>
  </r>
  <r>
    <n v="57"/>
    <n v="6"/>
    <x v="0"/>
    <x v="51"/>
    <n v="19"/>
    <n v="56221"/>
    <n v="1068199"/>
    <x v="0"/>
    <s v="Олифер Елена Руфимовна"/>
    <s v="Олифер Е. Р."/>
    <x v="0"/>
  </r>
  <r>
    <n v="58"/>
    <n v="1"/>
    <x v="1"/>
    <x v="52"/>
    <n v="14"/>
    <n v="20095"/>
    <n v="281330"/>
    <x v="0"/>
    <s v="Иванов Василий Геннадьевич"/>
    <s v="Иванов В. Г."/>
    <x v="0"/>
  </r>
  <r>
    <n v="59"/>
    <n v="4"/>
    <x v="4"/>
    <x v="53"/>
    <n v="98"/>
    <n v="91317"/>
    <n v="8949066"/>
    <x v="1"/>
    <s v="Бармина Юлия Анатольевна"/>
    <s v="Бармина Ю. А."/>
    <x v="0"/>
  </r>
  <r>
    <n v="60"/>
    <n v="3"/>
    <x v="6"/>
    <x v="54"/>
    <n v="132"/>
    <n v="76945"/>
    <n v="10156740"/>
    <x v="2"/>
    <s v="Ильина Татьяна Николаевна"/>
    <s v="Ильина Т. Н."/>
    <x v="0"/>
  </r>
  <r>
    <n v="61"/>
    <n v="2"/>
    <x v="3"/>
    <x v="45"/>
    <n v="39"/>
    <n v="24189"/>
    <n v="943371"/>
    <x v="0"/>
    <s v="Басова Светлана Сергеевна"/>
    <s v="Басова С. С."/>
    <x v="0"/>
  </r>
  <r>
    <n v="62"/>
    <n v="7"/>
    <x v="2"/>
    <x v="55"/>
    <n v="193"/>
    <n v="49459"/>
    <n v="9545587"/>
    <x v="1"/>
    <s v="Минина Татьяна Викторовна"/>
    <s v="Минина Т. В."/>
    <x v="0"/>
  </r>
  <r>
    <n v="63"/>
    <n v="3"/>
    <x v="6"/>
    <x v="56"/>
    <n v="157"/>
    <n v="3950"/>
    <n v="620150"/>
    <x v="0"/>
    <s v="Подчуфарова Жанна Анатольевна"/>
    <s v="Подчуфарова Ж. А."/>
    <x v="0"/>
  </r>
  <r>
    <n v="64"/>
    <n v="1"/>
    <x v="1"/>
    <x v="44"/>
    <n v="89"/>
    <n v="29253"/>
    <n v="2603517"/>
    <x v="0"/>
    <s v="Пиканов Владимир Петрович"/>
    <s v="Пиканов В. П."/>
    <x v="0"/>
  </r>
  <r>
    <n v="65"/>
    <n v="2"/>
    <x v="3"/>
    <x v="57"/>
    <n v="172"/>
    <n v="56912"/>
    <n v="9788864"/>
    <x v="1"/>
    <s v="Лоскутова Маргарита Валентиновна"/>
    <s v="Лоскутова М. В."/>
    <x v="0"/>
  </r>
  <r>
    <n v="66"/>
    <n v="6"/>
    <x v="0"/>
    <x v="58"/>
    <n v="169"/>
    <n v="11483"/>
    <n v="1940627"/>
    <x v="0"/>
    <s v="Васнин Валерий Викторович"/>
    <s v="Васнин В. В."/>
    <x v="0"/>
  </r>
  <r>
    <n v="67"/>
    <n v="6"/>
    <x v="0"/>
    <x v="59"/>
    <n v="193"/>
    <n v="96368"/>
    <n v="18599024"/>
    <x v="2"/>
    <s v="Иванова Лидия Николаевна"/>
    <s v="Иванова Л. Н."/>
    <x v="0"/>
  </r>
  <r>
    <n v="68"/>
    <n v="2"/>
    <x v="3"/>
    <x v="11"/>
    <n v="149"/>
    <n v="99797"/>
    <n v="14869753"/>
    <x v="2"/>
    <s v="Минина Татьяна Викторовна"/>
    <s v="Минина Т. В."/>
    <x v="0"/>
  </r>
  <r>
    <n v="69"/>
    <n v="5"/>
    <x v="5"/>
    <x v="60"/>
    <n v="57"/>
    <n v="50491"/>
    <n v="2877987"/>
    <x v="0"/>
    <s v="Дьякова Татьяна Аркадьевна"/>
    <s v="Дьякова Т. А."/>
    <x v="0"/>
  </r>
  <r>
    <n v="70"/>
    <n v="2"/>
    <x v="3"/>
    <x v="61"/>
    <n v="188"/>
    <n v="7020"/>
    <n v="1319760"/>
    <x v="0"/>
    <s v="Иванов Василий Геннадьевич"/>
    <s v="Иванов В. Г."/>
    <x v="0"/>
  </r>
  <r>
    <n v="71"/>
    <n v="5"/>
    <x v="5"/>
    <x v="8"/>
    <n v="103"/>
    <n v="91452"/>
    <n v="9419556"/>
    <x v="1"/>
    <s v="Пиканов Владимир Петрович"/>
    <s v="Пиканов В. П."/>
    <x v="0"/>
  </r>
  <r>
    <n v="72"/>
    <n v="7"/>
    <x v="2"/>
    <x v="62"/>
    <n v="72"/>
    <n v="12808"/>
    <n v="922176"/>
    <x v="0"/>
    <s v="Давыдова Татьяна Константиновна"/>
    <s v="Давыдова Т. К."/>
    <x v="0"/>
  </r>
  <r>
    <n v="73"/>
    <n v="4"/>
    <x v="4"/>
    <x v="63"/>
    <n v="177"/>
    <n v="29427"/>
    <n v="5208579"/>
    <x v="1"/>
    <s v="Гудошников Александр Владимирович"/>
    <s v="Гудошников А. В."/>
    <x v="0"/>
  </r>
  <r>
    <n v="74"/>
    <n v="3"/>
    <x v="6"/>
    <x v="64"/>
    <n v="137"/>
    <n v="90999"/>
    <n v="12466863"/>
    <x v="2"/>
    <s v="Минина Татьяна Викторовна"/>
    <s v="Минина Т. В."/>
    <x v="0"/>
  </r>
  <r>
    <n v="75"/>
    <n v="1"/>
    <x v="1"/>
    <x v="65"/>
    <n v="29"/>
    <n v="45948"/>
    <n v="1332492"/>
    <x v="0"/>
    <s v="Гребенева Татьяна Владимировна"/>
    <s v="Гребенева Т. В."/>
    <x v="0"/>
  </r>
  <r>
    <n v="76"/>
    <n v="3"/>
    <x v="6"/>
    <x v="66"/>
    <n v="115"/>
    <n v="29721"/>
    <n v="3417915"/>
    <x v="0"/>
    <s v="Исцелемова Светлана Александровна"/>
    <s v="Исцелемова С. А."/>
    <x v="0"/>
  </r>
  <r>
    <n v="77"/>
    <n v="5"/>
    <x v="5"/>
    <x v="8"/>
    <n v="114"/>
    <n v="34364"/>
    <n v="3917496"/>
    <x v="0"/>
    <s v="Лыхина Тамара Алексеевна"/>
    <s v="Лыхина Т. А."/>
    <x v="0"/>
  </r>
  <r>
    <n v="78"/>
    <n v="6"/>
    <x v="0"/>
    <x v="19"/>
    <n v="179"/>
    <n v="99140"/>
    <n v="17746060"/>
    <x v="2"/>
    <s v="Исцелемова Светлана Александровна"/>
    <s v="Исцелемова С. А."/>
    <x v="0"/>
  </r>
  <r>
    <n v="79"/>
    <n v="7"/>
    <x v="2"/>
    <x v="67"/>
    <n v="163"/>
    <n v="92224"/>
    <n v="15032512"/>
    <x v="2"/>
    <s v="Павлова Надежда Ивановна"/>
    <s v="Павлова Н. И."/>
    <x v="0"/>
  </r>
  <r>
    <n v="80"/>
    <n v="2"/>
    <x v="3"/>
    <x v="68"/>
    <n v="99"/>
    <n v="60862"/>
    <n v="6025338"/>
    <x v="1"/>
    <s v="Лыхина Тамара Алексеевна"/>
    <s v="Лыхина Т. А."/>
    <x v="0"/>
  </r>
  <r>
    <n v="81"/>
    <n v="4"/>
    <x v="4"/>
    <x v="69"/>
    <n v="150"/>
    <n v="51901"/>
    <n v="7785150"/>
    <x v="1"/>
    <s v="Гордеева Александра Петровна"/>
    <s v="Гордеева А. П."/>
    <x v="0"/>
  </r>
  <r>
    <n v="82"/>
    <n v="2"/>
    <x v="3"/>
    <x v="70"/>
    <n v="119"/>
    <n v="77585"/>
    <n v="9232615"/>
    <x v="1"/>
    <s v="Лоскутова Маргарита Валентиновна"/>
    <s v="Лоскутова М. В."/>
    <x v="0"/>
  </r>
  <r>
    <n v="83"/>
    <n v="2"/>
    <x v="3"/>
    <x v="71"/>
    <n v="168"/>
    <n v="25362"/>
    <n v="4260816"/>
    <x v="0"/>
    <s v="Бармина Юлия Анатольевна"/>
    <s v="Бармина Ю. А."/>
    <x v="0"/>
  </r>
  <r>
    <n v="84"/>
    <n v="2"/>
    <x v="3"/>
    <x v="72"/>
    <n v="80"/>
    <n v="51773"/>
    <n v="4141840"/>
    <x v="0"/>
    <s v="Лыхина Тамара Алексеевна"/>
    <s v="Лыхина Т. А."/>
    <x v="0"/>
  </r>
  <r>
    <n v="85"/>
    <n v="5"/>
    <x v="5"/>
    <x v="14"/>
    <n v="62"/>
    <n v="64743"/>
    <n v="4014066"/>
    <x v="0"/>
    <s v="Исцелемова Светлана Александровна"/>
    <s v="Исцелемова С. А."/>
    <x v="0"/>
  </r>
  <r>
    <n v="86"/>
    <n v="7"/>
    <x v="2"/>
    <x v="56"/>
    <n v="131"/>
    <n v="43165"/>
    <n v="5654615"/>
    <x v="1"/>
    <s v="Гордеева Александра Петровна"/>
    <s v="Гордеева А. П."/>
    <x v="0"/>
  </r>
  <r>
    <n v="87"/>
    <n v="7"/>
    <x v="2"/>
    <x v="61"/>
    <n v="101"/>
    <n v="64554"/>
    <n v="6519954"/>
    <x v="1"/>
    <s v="Каскеева Екатерина Алексеевна"/>
    <s v="Каскеева Е. А."/>
    <x v="0"/>
  </r>
  <r>
    <n v="88"/>
    <n v="3"/>
    <x v="6"/>
    <x v="71"/>
    <n v="193"/>
    <n v="48357"/>
    <n v="9332901"/>
    <x v="1"/>
    <s v="Абалтусова Вера Геннадьевна"/>
    <s v="Абалтусова В. Г."/>
    <x v="0"/>
  </r>
  <r>
    <n v="89"/>
    <n v="6"/>
    <x v="0"/>
    <x v="11"/>
    <n v="93"/>
    <n v="2361"/>
    <n v="219573"/>
    <x v="0"/>
    <s v="Петрушкевич Ольга Васильевна"/>
    <s v="Петрушкевич О. В."/>
    <x v="0"/>
  </r>
  <r>
    <n v="90"/>
    <n v="2"/>
    <x v="3"/>
    <x v="17"/>
    <n v="99"/>
    <n v="85385"/>
    <n v="8453115"/>
    <x v="1"/>
    <s v="Анфалова Лилия Рузилевна"/>
    <s v="Анфалова Л. Р."/>
    <x v="0"/>
  </r>
  <r>
    <n v="91"/>
    <n v="6"/>
    <x v="0"/>
    <x v="48"/>
    <n v="88"/>
    <n v="25175"/>
    <n v="2215400"/>
    <x v="0"/>
    <s v="Минина Любовь Анатольевна"/>
    <s v="Минина Л. А."/>
    <x v="0"/>
  </r>
  <r>
    <n v="92"/>
    <n v="7"/>
    <x v="2"/>
    <x v="73"/>
    <n v="186"/>
    <n v="13570"/>
    <n v="2524020"/>
    <x v="0"/>
    <s v="Анфалова Лилия Рузилевна"/>
    <s v="Анфалова Л. Р."/>
    <x v="0"/>
  </r>
  <r>
    <n v="93"/>
    <n v="4"/>
    <x v="4"/>
    <x v="74"/>
    <n v="124"/>
    <n v="54739"/>
    <n v="6787636"/>
    <x v="1"/>
    <s v="Коновалов Петр Иванович"/>
    <s v="Коновалов П. И."/>
    <x v="0"/>
  </r>
  <r>
    <n v="94"/>
    <n v="3"/>
    <x v="6"/>
    <x v="75"/>
    <n v="35"/>
    <n v="67099"/>
    <n v="2348465"/>
    <x v="0"/>
    <s v="Меркушев Алексей Сергеевич"/>
    <s v="Меркушев А. С."/>
    <x v="0"/>
  </r>
  <r>
    <n v="95"/>
    <n v="5"/>
    <x v="5"/>
    <x v="35"/>
    <n v="98"/>
    <n v="23521"/>
    <n v="2305058"/>
    <x v="0"/>
    <s v="Демидова Елена Борисовна"/>
    <s v="Демидова Е. Б."/>
    <x v="0"/>
  </r>
  <r>
    <n v="96"/>
    <n v="6"/>
    <x v="0"/>
    <x v="47"/>
    <n v="92"/>
    <n v="13952"/>
    <n v="1283584"/>
    <x v="0"/>
    <s v="Клепизонова Валентина Александровна"/>
    <s v="Клепизонова В. А."/>
    <x v="0"/>
  </r>
  <r>
    <n v="97"/>
    <n v="3"/>
    <x v="6"/>
    <x v="76"/>
    <n v="70"/>
    <n v="52841"/>
    <n v="3698870"/>
    <x v="0"/>
    <s v="Зуева Елена Юрьевна"/>
    <s v="Зуева Е. Ю."/>
    <x v="0"/>
  </r>
  <r>
    <n v="98"/>
    <n v="5"/>
    <x v="5"/>
    <x v="71"/>
    <n v="84"/>
    <n v="16140"/>
    <n v="1355760"/>
    <x v="0"/>
    <s v="Клепизонова Валентина Александровна"/>
    <s v="Клепизонова В. А."/>
    <x v="0"/>
  </r>
  <r>
    <n v="99"/>
    <n v="4"/>
    <x v="4"/>
    <x v="77"/>
    <n v="105"/>
    <n v="18739"/>
    <n v="1967595"/>
    <x v="0"/>
    <s v="Минина Любовь Анатольевна"/>
    <s v="Минина Л. А."/>
    <x v="0"/>
  </r>
  <r>
    <n v="100"/>
    <n v="2"/>
    <x v="3"/>
    <x v="78"/>
    <n v="44"/>
    <n v="64874"/>
    <n v="2854456"/>
    <x v="0"/>
    <s v="Ользатиева Людмила Геннадьевна"/>
    <s v="Ользатиева Л. Г."/>
    <x v="0"/>
  </r>
  <r>
    <n v="101"/>
    <n v="6"/>
    <x v="0"/>
    <x v="79"/>
    <n v="178"/>
    <n v="43950"/>
    <n v="7823100"/>
    <x v="1"/>
    <s v="Дьякова Татьяна Аркадьевна"/>
    <s v="Дьякова Т. А."/>
    <x v="0"/>
  </r>
  <r>
    <n v="102"/>
    <n v="3"/>
    <x v="6"/>
    <x v="80"/>
    <n v="146"/>
    <n v="74137"/>
    <n v="10824002"/>
    <x v="2"/>
    <s v="Зуева Елена Юрьевна"/>
    <s v="Зуева Е. Ю."/>
    <x v="0"/>
  </r>
  <r>
    <n v="103"/>
    <n v="2"/>
    <x v="3"/>
    <x v="81"/>
    <n v="7"/>
    <n v="19916"/>
    <n v="139412"/>
    <x v="0"/>
    <s v="Каячева Маргарита Владиславовна"/>
    <s v="Каячева М. В."/>
    <x v="0"/>
  </r>
  <r>
    <n v="104"/>
    <n v="2"/>
    <x v="3"/>
    <x v="55"/>
    <n v="125"/>
    <n v="2316"/>
    <n v="289500"/>
    <x v="0"/>
    <s v="Олифер Елена Руфимовна"/>
    <s v="Олифер Е. Р."/>
    <x v="0"/>
  </r>
  <r>
    <n v="105"/>
    <n v="1"/>
    <x v="1"/>
    <x v="82"/>
    <n v="153"/>
    <n v="98478"/>
    <n v="15067134"/>
    <x v="2"/>
    <s v="Байбикова Наиля Миясяровна"/>
    <s v="Байбикова Н. М."/>
    <x v="0"/>
  </r>
  <r>
    <n v="106"/>
    <n v="2"/>
    <x v="3"/>
    <x v="83"/>
    <n v="100"/>
    <n v="45539"/>
    <n v="4553900"/>
    <x v="0"/>
    <s v="Меркушев Алексей Сергеевич"/>
    <s v="Меркушев А. С."/>
    <x v="0"/>
  </r>
  <r>
    <n v="107"/>
    <n v="3"/>
    <x v="6"/>
    <x v="84"/>
    <n v="23"/>
    <n v="95297"/>
    <n v="2191831"/>
    <x v="0"/>
    <s v="Гордеева Александра Петровна"/>
    <s v="Гордеева А. П."/>
    <x v="0"/>
  </r>
  <r>
    <n v="108"/>
    <n v="5"/>
    <x v="5"/>
    <x v="85"/>
    <n v="183"/>
    <n v="65851"/>
    <n v="12050733"/>
    <x v="2"/>
    <s v="Мец Владимир Петрович"/>
    <s v="Мец В. П."/>
    <x v="0"/>
  </r>
  <r>
    <n v="109"/>
    <n v="4"/>
    <x v="4"/>
    <x v="30"/>
    <n v="81"/>
    <n v="15394"/>
    <n v="1246914"/>
    <x v="0"/>
    <s v="Каячева Маргарита Владиславовна"/>
    <s v="Каячева М. В."/>
    <x v="0"/>
  </r>
  <r>
    <n v="110"/>
    <n v="4"/>
    <x v="4"/>
    <x v="33"/>
    <n v="10"/>
    <n v="76702"/>
    <n v="767020"/>
    <x v="0"/>
    <s v="Патрушева Вероника Вадимовна"/>
    <s v="Патрушева В. В."/>
    <x v="0"/>
  </r>
  <r>
    <n v="111"/>
    <n v="3"/>
    <x v="6"/>
    <x v="86"/>
    <n v="35"/>
    <n v="95595"/>
    <n v="3345825"/>
    <x v="0"/>
    <s v="Дружинин Андрей Владимирович"/>
    <s v="Дружинин А. В."/>
    <x v="0"/>
  </r>
  <r>
    <n v="112"/>
    <n v="4"/>
    <x v="4"/>
    <x v="43"/>
    <n v="110"/>
    <n v="86581"/>
    <n v="9523910"/>
    <x v="1"/>
    <s v="Байбикова Наиля Миясяровна"/>
    <s v="Байбикова Н. М."/>
    <x v="0"/>
  </r>
  <r>
    <n v="113"/>
    <n v="3"/>
    <x v="6"/>
    <x v="53"/>
    <n v="81"/>
    <n v="23545"/>
    <n v="1907145"/>
    <x v="0"/>
    <s v="Дружинин Андрей Владимирович"/>
    <s v="Дружинин А. В."/>
    <x v="0"/>
  </r>
  <r>
    <n v="114"/>
    <n v="7"/>
    <x v="2"/>
    <x v="1"/>
    <n v="74"/>
    <n v="28460"/>
    <n v="2106040"/>
    <x v="0"/>
    <s v="Гудошников Александр Владимирович"/>
    <s v="Гудошников А. В."/>
    <x v="0"/>
  </r>
  <r>
    <n v="115"/>
    <n v="6"/>
    <x v="0"/>
    <x v="87"/>
    <n v="62"/>
    <n v="50784"/>
    <n v="3148608"/>
    <x v="0"/>
    <s v="Павлова Надежда Ивановна"/>
    <s v="Павлова Н. И."/>
    <x v="0"/>
  </r>
  <r>
    <n v="116"/>
    <n v="5"/>
    <x v="5"/>
    <x v="34"/>
    <n v="16"/>
    <n v="31755"/>
    <n v="508080"/>
    <x v="0"/>
    <s v="Каячева Маргарита Владиславовна"/>
    <s v="Каячева М. В."/>
    <x v="0"/>
  </r>
  <r>
    <n v="117"/>
    <n v="4"/>
    <x v="4"/>
    <x v="88"/>
    <n v="191"/>
    <n v="46014"/>
    <n v="8788674"/>
    <x v="1"/>
    <s v="Байбикова Наиля Миясяровна"/>
    <s v="Байбикова Н. М."/>
    <x v="0"/>
  </r>
  <r>
    <n v="118"/>
    <n v="6"/>
    <x v="0"/>
    <x v="85"/>
    <n v="173"/>
    <n v="98480"/>
    <n v="17037040"/>
    <x v="2"/>
    <s v="Крапивина Любовь Владимировна"/>
    <s v="Крапивина Л. В."/>
    <x v="0"/>
  </r>
  <r>
    <n v="119"/>
    <n v="3"/>
    <x v="6"/>
    <x v="89"/>
    <n v="86"/>
    <n v="99100"/>
    <n v="8522600"/>
    <x v="1"/>
    <s v="Бармина Юлия Анатольевна"/>
    <s v="Бармина Ю. А."/>
    <x v="0"/>
  </r>
  <r>
    <n v="120"/>
    <n v="1"/>
    <x v="1"/>
    <x v="90"/>
    <n v="93"/>
    <n v="97724"/>
    <n v="9088332"/>
    <x v="1"/>
    <s v="Зубова Ирина Михайловна"/>
    <s v="Зубова И. М."/>
    <x v="0"/>
  </r>
  <r>
    <n v="121"/>
    <n v="5"/>
    <x v="5"/>
    <x v="91"/>
    <n v="97"/>
    <n v="67223"/>
    <n v="6520631"/>
    <x v="1"/>
    <s v="Гребенева Татьяна Владимировна"/>
    <s v="Гребенева Т. В."/>
    <x v="0"/>
  </r>
  <r>
    <n v="122"/>
    <n v="3"/>
    <x v="6"/>
    <x v="59"/>
    <n v="25"/>
    <n v="88694"/>
    <n v="2217350"/>
    <x v="0"/>
    <s v="Абалтусова Вера Геннадьевна"/>
    <s v="Абалтусова В. Г."/>
    <x v="0"/>
  </r>
  <r>
    <n v="123"/>
    <n v="3"/>
    <x v="6"/>
    <x v="74"/>
    <n v="48"/>
    <n v="52215"/>
    <n v="2506320"/>
    <x v="0"/>
    <s v="Дружинин Андрей Владимирович"/>
    <s v="Дружинин А. В."/>
    <x v="0"/>
  </r>
  <r>
    <n v="124"/>
    <n v="4"/>
    <x v="4"/>
    <x v="92"/>
    <n v="193"/>
    <n v="5612"/>
    <n v="1083116"/>
    <x v="0"/>
    <s v="Крапивина Любовь Владимировна"/>
    <s v="Крапивина Л. В."/>
    <x v="0"/>
  </r>
  <r>
    <n v="125"/>
    <n v="7"/>
    <x v="2"/>
    <x v="93"/>
    <n v="195"/>
    <n v="62631"/>
    <n v="12213045"/>
    <x v="2"/>
    <s v="Олифер Елена Руфимовна"/>
    <s v="Олифер Е. Р."/>
    <x v="0"/>
  </r>
  <r>
    <n v="126"/>
    <n v="5"/>
    <x v="5"/>
    <x v="94"/>
    <n v="43"/>
    <n v="91962"/>
    <n v="3954366"/>
    <x v="0"/>
    <s v="Лакеенков Дмитрий Владимирович"/>
    <s v="Лакеенков Д. В."/>
    <x v="0"/>
  </r>
  <r>
    <n v="127"/>
    <n v="3"/>
    <x v="6"/>
    <x v="95"/>
    <n v="133"/>
    <n v="19861"/>
    <n v="2641513"/>
    <x v="0"/>
    <s v="Кадырова Елена Анатольевна"/>
    <s v="Кадырова Е. А."/>
    <x v="0"/>
  </r>
  <r>
    <n v="128"/>
    <n v="2"/>
    <x v="3"/>
    <x v="96"/>
    <n v="177"/>
    <n v="34173"/>
    <n v="6048621"/>
    <x v="1"/>
    <s v="Меркушев Алексей Сергеевич"/>
    <s v="Меркушев А. С."/>
    <x v="0"/>
  </r>
  <r>
    <n v="129"/>
    <n v="7"/>
    <x v="2"/>
    <x v="5"/>
    <n v="112"/>
    <n v="57995"/>
    <n v="6495440"/>
    <x v="1"/>
    <s v="Иванов Василий Геннадьевич"/>
    <s v="Иванов В. Г."/>
    <x v="0"/>
  </r>
  <r>
    <n v="130"/>
    <n v="7"/>
    <x v="2"/>
    <x v="97"/>
    <n v="41"/>
    <n v="55643"/>
    <n v="2281363"/>
    <x v="0"/>
    <s v="Попова Антонина Алексеевна"/>
    <s v="Попова А. А."/>
    <x v="0"/>
  </r>
  <r>
    <n v="131"/>
    <n v="6"/>
    <x v="0"/>
    <x v="98"/>
    <n v="135"/>
    <n v="71126"/>
    <n v="9602010"/>
    <x v="1"/>
    <s v="Крапивина Любовь Владимировна"/>
    <s v="Крапивина Л. В."/>
    <x v="0"/>
  </r>
  <r>
    <n v="132"/>
    <n v="7"/>
    <x v="2"/>
    <x v="99"/>
    <n v="65"/>
    <n v="63805"/>
    <n v="4147325"/>
    <x v="0"/>
    <s v="Васнин Валерий Викторович"/>
    <s v="Васнин В. В."/>
    <x v="0"/>
  </r>
  <r>
    <n v="133"/>
    <n v="5"/>
    <x v="5"/>
    <x v="100"/>
    <n v="12"/>
    <n v="35746"/>
    <n v="428952"/>
    <x v="0"/>
    <s v="Ользатиева Людмила Геннадьевна"/>
    <s v="Ользатиева Л. Г."/>
    <x v="0"/>
  </r>
  <r>
    <n v="134"/>
    <n v="1"/>
    <x v="1"/>
    <x v="101"/>
    <n v="159"/>
    <n v="47910"/>
    <n v="7617690"/>
    <x v="1"/>
    <s v="Крапивина Любовь Владимировна"/>
    <s v="Крапивина Л. В."/>
    <x v="0"/>
  </r>
  <r>
    <n v="135"/>
    <n v="2"/>
    <x v="3"/>
    <x v="59"/>
    <n v="164"/>
    <n v="24884"/>
    <n v="4080976"/>
    <x v="0"/>
    <s v="Барсукова Фаина Александровна"/>
    <s v="Барсукова Ф. А."/>
    <x v="0"/>
  </r>
  <r>
    <n v="136"/>
    <n v="5"/>
    <x v="5"/>
    <x v="102"/>
    <n v="150"/>
    <n v="26354"/>
    <n v="3953100"/>
    <x v="0"/>
    <s v="Гребенева Татьяна Владимировна"/>
    <s v="Гребенева Т. В."/>
    <x v="0"/>
  </r>
  <r>
    <n v="137"/>
    <n v="2"/>
    <x v="3"/>
    <x v="101"/>
    <n v="101"/>
    <n v="17937"/>
    <n v="1811637"/>
    <x v="0"/>
    <s v="Пономарева Светлана Викторовна"/>
    <s v="Пономарева С. В."/>
    <x v="0"/>
  </r>
  <r>
    <n v="138"/>
    <n v="2"/>
    <x v="3"/>
    <x v="52"/>
    <n v="128"/>
    <n v="19914"/>
    <n v="2548992"/>
    <x v="0"/>
    <s v="Неклюдова Ирина Ивановна"/>
    <s v="Неклюдова И. И."/>
    <x v="0"/>
  </r>
  <r>
    <n v="139"/>
    <n v="2"/>
    <x v="3"/>
    <x v="103"/>
    <n v="181"/>
    <n v="3520"/>
    <n v="637120"/>
    <x v="0"/>
    <s v="Макарова Нина Яковлевна"/>
    <s v="Макарова Н. Я."/>
    <x v="0"/>
  </r>
  <r>
    <n v="140"/>
    <n v="4"/>
    <x v="4"/>
    <x v="104"/>
    <n v="174"/>
    <n v="64093"/>
    <n v="11152182"/>
    <x v="2"/>
    <s v="Пиканов Владимир Петрович"/>
    <s v="Пиканов В. П."/>
    <x v="0"/>
  </r>
  <r>
    <n v="141"/>
    <n v="5"/>
    <x v="5"/>
    <x v="105"/>
    <n v="38"/>
    <n v="54398"/>
    <n v="2067124"/>
    <x v="0"/>
    <s v="Олифер Елена Руфимовна"/>
    <s v="Олифер Е. Р."/>
    <x v="0"/>
  </r>
  <r>
    <n v="142"/>
    <n v="6"/>
    <x v="0"/>
    <x v="106"/>
    <n v="20"/>
    <n v="82002"/>
    <n v="1640040"/>
    <x v="0"/>
    <s v="Бармина Юлия Анатольевна"/>
    <s v="Бармина Ю. А."/>
    <x v="0"/>
  </r>
  <r>
    <n v="143"/>
    <n v="2"/>
    <x v="3"/>
    <x v="107"/>
    <n v="136"/>
    <n v="86914"/>
    <n v="11820304"/>
    <x v="2"/>
    <s v="Паршакова Татьяна Леонтьевна"/>
    <s v="Паршакова Т. Л."/>
    <x v="0"/>
  </r>
  <r>
    <n v="144"/>
    <n v="4"/>
    <x v="4"/>
    <x v="108"/>
    <n v="148"/>
    <n v="34871"/>
    <n v="5160908"/>
    <x v="1"/>
    <s v="Зубова Ирина Михайловна"/>
    <s v="Зубова И. М."/>
    <x v="0"/>
  </r>
  <r>
    <n v="145"/>
    <n v="3"/>
    <x v="6"/>
    <x v="15"/>
    <n v="154"/>
    <n v="22356"/>
    <n v="3442824"/>
    <x v="0"/>
    <s v="Васнин Валерий Викторович"/>
    <s v="Васнин В. В."/>
    <x v="0"/>
  </r>
  <r>
    <n v="146"/>
    <n v="2"/>
    <x v="3"/>
    <x v="10"/>
    <n v="14"/>
    <n v="22495"/>
    <n v="314930"/>
    <x v="0"/>
    <s v="Иванова Лидия Николаевна"/>
    <s v="Иванова Л. Н."/>
    <x v="0"/>
  </r>
  <r>
    <n v="147"/>
    <n v="2"/>
    <x v="3"/>
    <x v="9"/>
    <n v="5"/>
    <n v="56001"/>
    <n v="280005"/>
    <x v="0"/>
    <s v="Павлова Надежда Ивановна"/>
    <s v="Павлова Н. И."/>
    <x v="0"/>
  </r>
  <r>
    <n v="148"/>
    <n v="5"/>
    <x v="5"/>
    <x v="109"/>
    <n v="65"/>
    <n v="79130"/>
    <n v="5143450"/>
    <x v="1"/>
    <s v="Пономарева Светлана Викторовна"/>
    <s v="Пономарева С. В."/>
    <x v="0"/>
  </r>
  <r>
    <n v="149"/>
    <n v="2"/>
    <x v="3"/>
    <x v="110"/>
    <n v="141"/>
    <n v="53728"/>
    <n v="7575648"/>
    <x v="1"/>
    <s v="Петрушкевич Ольга Васильевна"/>
    <s v="Петрушкевич О. В."/>
    <x v="0"/>
  </r>
  <r>
    <n v="150"/>
    <n v="3"/>
    <x v="6"/>
    <x v="83"/>
    <n v="190"/>
    <n v="34582"/>
    <n v="6570580"/>
    <x v="1"/>
    <s v="Меркушев Алексей Сергеевич"/>
    <s v="Меркушев А. С."/>
    <x v="0"/>
  </r>
  <r>
    <n v="151"/>
    <n v="5"/>
    <x v="5"/>
    <x v="52"/>
    <n v="188"/>
    <n v="60856"/>
    <n v="11440928"/>
    <x v="2"/>
    <s v="Байбикова Наиля Миясяровна"/>
    <s v="Байбикова Н. М."/>
    <x v="0"/>
  </r>
  <r>
    <n v="152"/>
    <n v="2"/>
    <x v="3"/>
    <x v="111"/>
    <n v="109"/>
    <n v="89815"/>
    <n v="9789835"/>
    <x v="1"/>
    <s v="Зуева Елена Юрьевна"/>
    <s v="Зуева Е. Ю."/>
    <x v="0"/>
  </r>
  <r>
    <n v="153"/>
    <n v="1"/>
    <x v="1"/>
    <x v="110"/>
    <n v="157"/>
    <n v="56720"/>
    <n v="8905040"/>
    <x v="1"/>
    <s v="Анфалова Лилия Рузилевна"/>
    <s v="Анфалова Л. Р."/>
    <x v="0"/>
  </r>
  <r>
    <n v="154"/>
    <n v="1"/>
    <x v="1"/>
    <x v="3"/>
    <n v="53"/>
    <n v="30449"/>
    <n v="1613797"/>
    <x v="0"/>
    <s v="Зубова Ирина Михайловна"/>
    <s v="Зубова И. М."/>
    <x v="0"/>
  </r>
  <r>
    <n v="155"/>
    <n v="3"/>
    <x v="6"/>
    <x v="112"/>
    <n v="36"/>
    <n v="21104"/>
    <n v="759744"/>
    <x v="0"/>
    <s v="Ильина Татьяна Николаевна"/>
    <s v="Ильина Т. Н."/>
    <x v="0"/>
  </r>
  <r>
    <n v="156"/>
    <n v="1"/>
    <x v="1"/>
    <x v="99"/>
    <n v="150"/>
    <n v="94126"/>
    <n v="14118900"/>
    <x v="2"/>
    <s v="Васнин Валерий Викторович"/>
    <s v="Васнин В. В."/>
    <x v="0"/>
  </r>
  <r>
    <n v="157"/>
    <n v="4"/>
    <x v="4"/>
    <x v="113"/>
    <n v="161"/>
    <n v="32320"/>
    <n v="5203520"/>
    <x v="1"/>
    <s v="Неклюдова Ирина Ивановна"/>
    <s v="Неклюдова И. И."/>
    <x v="0"/>
  </r>
  <r>
    <n v="158"/>
    <n v="1"/>
    <x v="1"/>
    <x v="1"/>
    <n v="186"/>
    <n v="55634"/>
    <n v="10347924"/>
    <x v="2"/>
    <s v="Макарова Нина Яковлевна"/>
    <s v="Макарова Н. Я."/>
    <x v="0"/>
  </r>
  <r>
    <n v="159"/>
    <n v="4"/>
    <x v="4"/>
    <x v="114"/>
    <n v="96"/>
    <n v="5845"/>
    <n v="561120"/>
    <x v="0"/>
    <s v="Олифер Елена Руфимовна"/>
    <s v="Олифер Е. Р."/>
    <x v="0"/>
  </r>
  <r>
    <n v="160"/>
    <n v="6"/>
    <x v="0"/>
    <x v="115"/>
    <n v="28"/>
    <n v="35595"/>
    <n v="996660"/>
    <x v="0"/>
    <s v="Голдобина Алевтина Владимировна"/>
    <s v="Голдобина А. В."/>
    <x v="0"/>
  </r>
  <r>
    <n v="161"/>
    <n v="4"/>
    <x v="4"/>
    <x v="15"/>
    <n v="28"/>
    <n v="57747"/>
    <n v="1616916"/>
    <x v="0"/>
    <s v="Анфалова Лилия Рузилевна"/>
    <s v="Анфалова Л. Р."/>
    <x v="0"/>
  </r>
  <r>
    <n v="162"/>
    <n v="5"/>
    <x v="5"/>
    <x v="29"/>
    <n v="190"/>
    <n v="86548"/>
    <n v="16444120"/>
    <x v="2"/>
    <s v="Кадырова Елена Анатольевна"/>
    <s v="Кадырова Е. А."/>
    <x v="0"/>
  </r>
  <r>
    <n v="163"/>
    <n v="7"/>
    <x v="2"/>
    <x v="116"/>
    <n v="37"/>
    <n v="88851"/>
    <n v="3287487"/>
    <x v="0"/>
    <s v="Бармина Юлия Анатольевна"/>
    <s v="Бармина Ю. А."/>
    <x v="0"/>
  </r>
  <r>
    <n v="164"/>
    <n v="5"/>
    <x v="5"/>
    <x v="72"/>
    <n v="70"/>
    <n v="31235"/>
    <n v="2186450"/>
    <x v="0"/>
    <s v="Петрушкевич Ольга Васильевна"/>
    <s v="Петрушкевич О. В."/>
    <x v="0"/>
  </r>
  <r>
    <n v="165"/>
    <n v="4"/>
    <x v="4"/>
    <x v="67"/>
    <n v="107"/>
    <n v="35378"/>
    <n v="3785446"/>
    <x v="0"/>
    <s v="Лукашенко Александр Сергеевич"/>
    <s v="Лукашенко А. С."/>
    <x v="0"/>
  </r>
  <r>
    <n v="166"/>
    <n v="5"/>
    <x v="5"/>
    <x v="117"/>
    <n v="82"/>
    <n v="42267"/>
    <n v="3465894"/>
    <x v="0"/>
    <s v="Патрушева Вероника Вадимовна"/>
    <s v="Патрушева В. В."/>
    <x v="0"/>
  </r>
  <r>
    <n v="167"/>
    <n v="2"/>
    <x v="3"/>
    <x v="118"/>
    <n v="106"/>
    <n v="24885"/>
    <n v="2637810"/>
    <x v="0"/>
    <s v="Петрушкевич Ольга Васильевна"/>
    <s v="Петрушкевич О. В."/>
    <x v="0"/>
  </r>
  <r>
    <n v="168"/>
    <n v="6"/>
    <x v="0"/>
    <x v="119"/>
    <n v="153"/>
    <n v="64531"/>
    <n v="9873243"/>
    <x v="1"/>
    <s v="Коновалов Петр Иванович"/>
    <s v="Коновалов П. И."/>
    <x v="0"/>
  </r>
  <r>
    <n v="169"/>
    <n v="7"/>
    <x v="2"/>
    <x v="44"/>
    <n v="31"/>
    <n v="4239"/>
    <n v="131409"/>
    <x v="0"/>
    <s v="Исцелемова Светлана Александровна"/>
    <s v="Исцелемова С. А."/>
    <x v="0"/>
  </r>
  <r>
    <n v="170"/>
    <n v="6"/>
    <x v="0"/>
    <x v="120"/>
    <n v="90"/>
    <n v="94350"/>
    <n v="8491500"/>
    <x v="1"/>
    <s v="Макарова Нина Яковлевна"/>
    <s v="Макарова Н. Я."/>
    <x v="0"/>
  </r>
  <r>
    <n v="171"/>
    <n v="5"/>
    <x v="5"/>
    <x v="110"/>
    <n v="130"/>
    <n v="2386"/>
    <n v="310180"/>
    <x v="0"/>
    <s v="Иванова Лидия Николаевна"/>
    <s v="Иванова Л. Н."/>
    <x v="0"/>
  </r>
  <r>
    <n v="172"/>
    <n v="4"/>
    <x v="4"/>
    <x v="121"/>
    <n v="32"/>
    <n v="15511"/>
    <n v="496352"/>
    <x v="0"/>
    <s v="Королев Алексей Михайлович"/>
    <s v="Королев А. М."/>
    <x v="0"/>
  </r>
  <r>
    <n v="173"/>
    <n v="1"/>
    <x v="1"/>
    <x v="122"/>
    <n v="180"/>
    <n v="47678"/>
    <n v="8582040"/>
    <x v="1"/>
    <s v="Зуева Елена Юрьевна"/>
    <s v="Зуева Е. Ю."/>
    <x v="0"/>
  </r>
  <r>
    <n v="174"/>
    <n v="7"/>
    <x v="2"/>
    <x v="123"/>
    <n v="65"/>
    <n v="15356"/>
    <n v="998140"/>
    <x v="0"/>
    <s v="Дружинин Андрей Владимирович"/>
    <s v="Дружинин А. В."/>
    <x v="0"/>
  </r>
  <r>
    <n v="175"/>
    <n v="2"/>
    <x v="3"/>
    <x v="104"/>
    <n v="179"/>
    <n v="14130"/>
    <n v="2529270"/>
    <x v="0"/>
    <s v="Оносов Александр Геннадьевич"/>
    <s v="Оносов А. Г."/>
    <x v="0"/>
  </r>
  <r>
    <n v="176"/>
    <n v="6"/>
    <x v="0"/>
    <x v="124"/>
    <n v="21"/>
    <n v="46111"/>
    <n v="968331"/>
    <x v="0"/>
    <s v="Олифер Елена Руфимовна"/>
    <s v="Олифер Е. Р."/>
    <x v="0"/>
  </r>
  <r>
    <n v="177"/>
    <n v="2"/>
    <x v="3"/>
    <x v="49"/>
    <n v="139"/>
    <n v="52370"/>
    <n v="7279430"/>
    <x v="1"/>
    <s v="Подчуфарова Жанна Анатольевна"/>
    <s v="Подчуфарова Ж. А."/>
    <x v="0"/>
  </r>
  <r>
    <n v="178"/>
    <n v="2"/>
    <x v="3"/>
    <x v="125"/>
    <n v="121"/>
    <n v="64322"/>
    <n v="7782962"/>
    <x v="1"/>
    <s v="Патрушева Вероника Вадимовна"/>
    <s v="Патрушева В. В."/>
    <x v="0"/>
  </r>
  <r>
    <n v="179"/>
    <n v="2"/>
    <x v="3"/>
    <x v="126"/>
    <n v="9"/>
    <n v="80044"/>
    <n v="720396"/>
    <x v="0"/>
    <s v="Власова Лариса Анатольевна"/>
    <s v="Власова Л. А."/>
    <x v="0"/>
  </r>
  <r>
    <n v="180"/>
    <n v="6"/>
    <x v="0"/>
    <x v="127"/>
    <n v="157"/>
    <n v="4190"/>
    <n v="657830"/>
    <x v="0"/>
    <s v="Анфалова Лилия Рузилевна"/>
    <s v="Анфалова Л. Р."/>
    <x v="0"/>
  </r>
  <r>
    <n v="181"/>
    <n v="5"/>
    <x v="5"/>
    <x v="128"/>
    <n v="79"/>
    <n v="15943"/>
    <n v="1259497"/>
    <x v="0"/>
    <s v="Меркушев Алексей Сергеевич"/>
    <s v="Меркушев А. С."/>
    <x v="0"/>
  </r>
  <r>
    <n v="182"/>
    <n v="1"/>
    <x v="1"/>
    <x v="50"/>
    <n v="92"/>
    <n v="5949"/>
    <n v="547308"/>
    <x v="0"/>
    <s v="Голдобина Алевтина Владимировна"/>
    <s v="Голдобина А. В."/>
    <x v="0"/>
  </r>
  <r>
    <n v="183"/>
    <n v="2"/>
    <x v="3"/>
    <x v="129"/>
    <n v="98"/>
    <n v="77268"/>
    <n v="7572264"/>
    <x v="1"/>
    <s v="Каячева Маргарита Владиславовна"/>
    <s v="Каячева М. В."/>
    <x v="0"/>
  </r>
  <r>
    <n v="184"/>
    <n v="5"/>
    <x v="5"/>
    <x v="112"/>
    <n v="90"/>
    <n v="90797"/>
    <n v="8171730"/>
    <x v="1"/>
    <s v="Пермякова Ольга Анатольевна"/>
    <s v="Пермякова О. А."/>
    <x v="0"/>
  </r>
  <r>
    <n v="185"/>
    <n v="5"/>
    <x v="5"/>
    <x v="85"/>
    <n v="129"/>
    <n v="20430"/>
    <n v="2635470"/>
    <x v="0"/>
    <s v="Голдобина Алевтина Владимировна"/>
    <s v="Голдобина А. В."/>
    <x v="0"/>
  </r>
  <r>
    <n v="186"/>
    <n v="4"/>
    <x v="4"/>
    <x v="130"/>
    <n v="66"/>
    <n v="74386"/>
    <n v="4909476"/>
    <x v="0"/>
    <s v="Неклюдова Ирина Ивановна"/>
    <s v="Неклюдова И. И."/>
    <x v="0"/>
  </r>
  <r>
    <n v="187"/>
    <n v="2"/>
    <x v="3"/>
    <x v="79"/>
    <n v="104"/>
    <n v="82424"/>
    <n v="8572096"/>
    <x v="1"/>
    <s v="Зуева Елена Юрьевна"/>
    <s v="Зуева Е. Ю."/>
    <x v="0"/>
  </r>
  <r>
    <n v="188"/>
    <n v="7"/>
    <x v="2"/>
    <x v="39"/>
    <n v="85"/>
    <n v="75416"/>
    <n v="6410360"/>
    <x v="1"/>
    <s v="Меркушев Алексей Сергеевич"/>
    <s v="Меркушев А. С."/>
    <x v="0"/>
  </r>
  <r>
    <n v="189"/>
    <n v="1"/>
    <x v="1"/>
    <x v="13"/>
    <n v="198"/>
    <n v="89116"/>
    <n v="17644968"/>
    <x v="2"/>
    <s v="Подчуфарова Жанна Анатольевна"/>
    <s v="Подчуфарова Ж. А."/>
    <x v="0"/>
  </r>
  <r>
    <n v="190"/>
    <n v="4"/>
    <x v="4"/>
    <x v="131"/>
    <n v="46"/>
    <n v="5527"/>
    <n v="254242"/>
    <x v="0"/>
    <s v="Каскеева Екатерина Алексеевна"/>
    <s v="Каскеева Е. А."/>
    <x v="0"/>
  </r>
  <r>
    <n v="191"/>
    <n v="2"/>
    <x v="3"/>
    <x v="132"/>
    <n v="47"/>
    <n v="89028"/>
    <n v="4184316"/>
    <x v="0"/>
    <s v="Пермякова Ольга Анатольевна"/>
    <s v="Пермякова О. А."/>
    <x v="0"/>
  </r>
  <r>
    <n v="192"/>
    <n v="7"/>
    <x v="2"/>
    <x v="21"/>
    <n v="161"/>
    <n v="8482"/>
    <n v="1365602"/>
    <x v="0"/>
    <s v="Демидова Елена Борисовна"/>
    <s v="Демидова Е. Б."/>
    <x v="0"/>
  </r>
  <r>
    <n v="193"/>
    <n v="3"/>
    <x v="6"/>
    <x v="65"/>
    <n v="29"/>
    <n v="16650"/>
    <n v="482850"/>
    <x v="0"/>
    <s v="Лукашенко Александр Сергеевич"/>
    <s v="Лукашенко А. С."/>
    <x v="0"/>
  </r>
  <r>
    <n v="194"/>
    <n v="2"/>
    <x v="3"/>
    <x v="17"/>
    <n v="50"/>
    <n v="28934"/>
    <n v="1446700"/>
    <x v="0"/>
    <s v="Пономарева Светлана Викторовна"/>
    <s v="Пономарева С. В."/>
    <x v="0"/>
  </r>
  <r>
    <n v="195"/>
    <n v="4"/>
    <x v="4"/>
    <x v="87"/>
    <n v="39"/>
    <n v="44740"/>
    <n v="1744860"/>
    <x v="0"/>
    <s v="Попова Антонина Алексеевна"/>
    <s v="Попова А. А."/>
    <x v="0"/>
  </r>
  <r>
    <n v="196"/>
    <n v="3"/>
    <x v="6"/>
    <x v="133"/>
    <n v="93"/>
    <n v="27179"/>
    <n v="2527647"/>
    <x v="0"/>
    <s v="Минина Любовь Анатольевна"/>
    <s v="Минина Л. А."/>
    <x v="0"/>
  </r>
  <r>
    <n v="197"/>
    <n v="3"/>
    <x v="6"/>
    <x v="22"/>
    <n v="151"/>
    <n v="80825"/>
    <n v="12204575"/>
    <x v="2"/>
    <s v="Давыдова Татьяна Константиновна"/>
    <s v="Давыдова Т. К."/>
    <x v="0"/>
  </r>
  <r>
    <n v="198"/>
    <n v="6"/>
    <x v="0"/>
    <x v="18"/>
    <n v="42"/>
    <n v="57470"/>
    <n v="2413740"/>
    <x v="0"/>
    <s v="Лакеенков Дмитрий Владимирович"/>
    <s v="Лакеенков Д. В."/>
    <x v="0"/>
  </r>
  <r>
    <n v="199"/>
    <n v="1"/>
    <x v="1"/>
    <x v="95"/>
    <n v="74"/>
    <n v="23249"/>
    <n v="1720426"/>
    <x v="0"/>
    <s v="Ользатиева Людмила Геннадьевна"/>
    <s v="Ользатиева Л. Г."/>
    <x v="0"/>
  </r>
  <r>
    <n v="200"/>
    <n v="7"/>
    <x v="2"/>
    <x v="92"/>
    <n v="2"/>
    <n v="10849"/>
    <n v="21698"/>
    <x v="0"/>
    <s v="Голдобина Алевтина Владимировна"/>
    <s v="Голдобина А. В."/>
    <x v="0"/>
  </r>
  <r>
    <n v="201"/>
    <n v="7"/>
    <x v="2"/>
    <x v="125"/>
    <n v="113"/>
    <n v="32660"/>
    <n v="3690580"/>
    <x v="0"/>
    <s v="Гордеева Александра Петровна"/>
    <s v="Гордеева А. П."/>
    <x v="0"/>
  </r>
  <r>
    <n v="202"/>
    <n v="6"/>
    <x v="0"/>
    <x v="134"/>
    <n v="138"/>
    <n v="33053"/>
    <n v="4561314"/>
    <x v="0"/>
    <s v="Косикова Елена Александровна"/>
    <s v="Косикова Е. А."/>
    <x v="0"/>
  </r>
  <r>
    <n v="203"/>
    <n v="4"/>
    <x v="4"/>
    <x v="131"/>
    <n v="195"/>
    <n v="74244"/>
    <n v="14477580"/>
    <x v="2"/>
    <s v="Зубова Ирина Михайловна"/>
    <s v="Зубова И. М."/>
    <x v="0"/>
  </r>
  <r>
    <n v="204"/>
    <n v="4"/>
    <x v="4"/>
    <x v="135"/>
    <n v="124"/>
    <n v="19466"/>
    <n v="2413784"/>
    <x v="0"/>
    <s v="Оносов Александр Геннадьевич"/>
    <s v="Оносов А. Г."/>
    <x v="0"/>
  </r>
  <r>
    <n v="205"/>
    <n v="5"/>
    <x v="5"/>
    <x v="136"/>
    <n v="37"/>
    <n v="15951"/>
    <n v="590187"/>
    <x v="0"/>
    <s v="Пермякова Ольга Анатольевна"/>
    <s v="Пермякова О. А."/>
    <x v="0"/>
  </r>
  <r>
    <n v="206"/>
    <n v="4"/>
    <x v="4"/>
    <x v="35"/>
    <n v="22"/>
    <n v="23679"/>
    <n v="520938"/>
    <x v="0"/>
    <s v="Каячева Маргарита Владиславовна"/>
    <s v="Каячева М. В."/>
    <x v="0"/>
  </r>
  <r>
    <n v="207"/>
    <n v="4"/>
    <x v="4"/>
    <x v="137"/>
    <n v="174"/>
    <n v="80541"/>
    <n v="14014134"/>
    <x v="2"/>
    <s v="Гребенева Татьяна Владимировна"/>
    <s v="Гребенева Т. В."/>
    <x v="0"/>
  </r>
  <r>
    <n v="208"/>
    <n v="4"/>
    <x v="4"/>
    <x v="138"/>
    <n v="182"/>
    <n v="20887"/>
    <n v="3801434"/>
    <x v="0"/>
    <s v="Косикова Елена Александровна"/>
    <s v="Косикова Е. А."/>
    <x v="0"/>
  </r>
  <r>
    <n v="209"/>
    <n v="1"/>
    <x v="1"/>
    <x v="139"/>
    <n v="100"/>
    <n v="5728"/>
    <n v="572800"/>
    <x v="0"/>
    <s v="Паршакова Татьяна Леонтьевна"/>
    <s v="Паршакова Т. Л."/>
    <x v="0"/>
  </r>
  <r>
    <n v="210"/>
    <n v="5"/>
    <x v="5"/>
    <x v="140"/>
    <n v="46"/>
    <n v="3450"/>
    <n v="158700"/>
    <x v="0"/>
    <s v="Барсукова Фаина Александровна"/>
    <s v="Барсукова Ф. А."/>
    <x v="0"/>
  </r>
  <r>
    <n v="211"/>
    <n v="4"/>
    <x v="4"/>
    <x v="13"/>
    <n v="110"/>
    <n v="59025"/>
    <n v="6492750"/>
    <x v="1"/>
    <s v="Павлова Надежда Ивановна"/>
    <s v="Павлова Н. И."/>
    <x v="0"/>
  </r>
  <r>
    <n v="212"/>
    <n v="3"/>
    <x v="6"/>
    <x v="126"/>
    <n v="153"/>
    <n v="14768"/>
    <n v="2259504"/>
    <x v="0"/>
    <s v="Гребенева Татьяна Владимировна"/>
    <s v="Гребенева Т. В."/>
    <x v="0"/>
  </r>
  <r>
    <n v="213"/>
    <n v="2"/>
    <x v="3"/>
    <x v="141"/>
    <n v="146"/>
    <n v="76654"/>
    <n v="11191484"/>
    <x v="2"/>
    <s v="Анфалова Лилия Рузилевна"/>
    <s v="Анфалова Л. Р."/>
    <x v="0"/>
  </r>
  <r>
    <n v="214"/>
    <n v="5"/>
    <x v="5"/>
    <x v="18"/>
    <n v="173"/>
    <n v="33885"/>
    <n v="5862105"/>
    <x v="1"/>
    <s v="Анфалова Лилия Рузилевна"/>
    <s v="Анфалова Л. Р."/>
    <x v="0"/>
  </r>
  <r>
    <n v="215"/>
    <n v="2"/>
    <x v="3"/>
    <x v="142"/>
    <n v="104"/>
    <n v="79353"/>
    <n v="8252712"/>
    <x v="1"/>
    <s v="Лоскутова Маргарита Валентиновна"/>
    <s v="Лоскутова М. В."/>
    <x v="0"/>
  </r>
  <r>
    <n v="216"/>
    <n v="6"/>
    <x v="0"/>
    <x v="57"/>
    <n v="10"/>
    <n v="73885"/>
    <n v="738850"/>
    <x v="0"/>
    <s v="Крапивина Любовь Владимировна"/>
    <s v="Крапивина Л. В."/>
    <x v="0"/>
  </r>
  <r>
    <n v="217"/>
    <n v="3"/>
    <x v="6"/>
    <x v="94"/>
    <n v="36"/>
    <n v="92683"/>
    <n v="3336588"/>
    <x v="0"/>
    <s v="Каячева Маргарита Владиславовна"/>
    <s v="Каячева М. В."/>
    <x v="0"/>
  </r>
  <r>
    <n v="218"/>
    <n v="7"/>
    <x v="2"/>
    <x v="105"/>
    <n v="43"/>
    <n v="20291"/>
    <n v="872513"/>
    <x v="0"/>
    <s v="Байбикова Наиля Миясяровна"/>
    <s v="Байбикова Н. М."/>
    <x v="0"/>
  </r>
  <r>
    <n v="219"/>
    <n v="2"/>
    <x v="3"/>
    <x v="143"/>
    <n v="66"/>
    <n v="36089"/>
    <n v="2381874"/>
    <x v="0"/>
    <s v="Лыхина Тамара Алексеевна"/>
    <s v="Лыхина Т. А."/>
    <x v="0"/>
  </r>
  <r>
    <n v="220"/>
    <n v="1"/>
    <x v="1"/>
    <x v="12"/>
    <n v="116"/>
    <n v="76176"/>
    <n v="8836416"/>
    <x v="1"/>
    <s v="Косикова Елена Александровна"/>
    <s v="Косикова Е. А."/>
    <x v="0"/>
  </r>
  <r>
    <n v="221"/>
    <n v="2"/>
    <x v="3"/>
    <x v="81"/>
    <n v="39"/>
    <n v="71444"/>
    <n v="2786316"/>
    <x v="0"/>
    <s v="Васнин Валерий Викторович"/>
    <s v="Васнин В. В."/>
    <x v="0"/>
  </r>
  <r>
    <n v="222"/>
    <n v="4"/>
    <x v="4"/>
    <x v="144"/>
    <n v="60"/>
    <n v="74283"/>
    <n v="4456980"/>
    <x v="0"/>
    <s v="Зуева Елена Юрьевна"/>
    <s v="Зуева Е. Ю."/>
    <x v="0"/>
  </r>
  <r>
    <n v="223"/>
    <n v="5"/>
    <x v="5"/>
    <x v="110"/>
    <n v="106"/>
    <n v="92007"/>
    <n v="9752742"/>
    <x v="1"/>
    <s v="Васнин Валерий Викторович"/>
    <s v="Васнин В. В."/>
    <x v="0"/>
  </r>
  <r>
    <n v="224"/>
    <n v="2"/>
    <x v="3"/>
    <x v="145"/>
    <n v="115"/>
    <n v="78373"/>
    <n v="9012895"/>
    <x v="1"/>
    <s v="Крапивина Любовь Владимировна"/>
    <s v="Крапивина Л. В."/>
    <x v="0"/>
  </r>
  <r>
    <n v="225"/>
    <n v="6"/>
    <x v="0"/>
    <x v="137"/>
    <n v="62"/>
    <n v="26001"/>
    <n v="1612062"/>
    <x v="0"/>
    <s v="Ользатиева Людмила Геннадьевна"/>
    <s v="Ользатиева Л. Г."/>
    <x v="0"/>
  </r>
  <r>
    <n v="226"/>
    <n v="2"/>
    <x v="3"/>
    <x v="123"/>
    <n v="127"/>
    <n v="7419"/>
    <n v="942213"/>
    <x v="0"/>
    <s v="Петрушкевич Ольга Васильевна"/>
    <s v="Петрушкевич О. В."/>
    <x v="0"/>
  </r>
  <r>
    <n v="227"/>
    <n v="2"/>
    <x v="3"/>
    <x v="19"/>
    <n v="58"/>
    <n v="79908"/>
    <n v="4634664"/>
    <x v="0"/>
    <s v="Мамаева Ольга Юрьевна"/>
    <s v="Мамаева О. Ю."/>
    <x v="0"/>
  </r>
  <r>
    <n v="228"/>
    <n v="1"/>
    <x v="1"/>
    <x v="146"/>
    <n v="11"/>
    <n v="82842"/>
    <n v="911262"/>
    <x v="0"/>
    <s v="Голдобина Алевтина Владимировна"/>
    <s v="Голдобина А. В."/>
    <x v="0"/>
  </r>
  <r>
    <n v="229"/>
    <n v="5"/>
    <x v="5"/>
    <x v="147"/>
    <n v="115"/>
    <n v="13496"/>
    <n v="1552040"/>
    <x v="0"/>
    <s v="Каячева Маргарита Владиславовна"/>
    <s v="Каячева М. В."/>
    <x v="0"/>
  </r>
  <r>
    <n v="230"/>
    <n v="1"/>
    <x v="1"/>
    <x v="148"/>
    <n v="171"/>
    <n v="19711"/>
    <n v="3370581"/>
    <x v="0"/>
    <s v="Мамаева Ольга Юрьевна"/>
    <s v="Мамаева О. Ю."/>
    <x v="0"/>
  </r>
  <r>
    <n v="231"/>
    <n v="3"/>
    <x v="6"/>
    <x v="116"/>
    <n v="190"/>
    <n v="35985"/>
    <n v="6837150"/>
    <x v="1"/>
    <s v="Дружинин Андрей Владимирович"/>
    <s v="Дружинин А. В."/>
    <x v="0"/>
  </r>
  <r>
    <n v="232"/>
    <n v="1"/>
    <x v="1"/>
    <x v="59"/>
    <n v="34"/>
    <n v="17608"/>
    <n v="598672"/>
    <x v="0"/>
    <s v="Иванов Василий Геннадьевич"/>
    <s v="Иванов В. Г."/>
    <x v="0"/>
  </r>
  <r>
    <n v="233"/>
    <n v="3"/>
    <x v="6"/>
    <x v="78"/>
    <n v="103"/>
    <n v="83230"/>
    <n v="8572690"/>
    <x v="1"/>
    <s v="Павлова Надежда Ивановна"/>
    <s v="Павлова Н. И."/>
    <x v="0"/>
  </r>
  <r>
    <n v="234"/>
    <n v="3"/>
    <x v="6"/>
    <x v="36"/>
    <n v="116"/>
    <n v="74279"/>
    <n v="8616364"/>
    <x v="1"/>
    <s v="Ользатиева Людмила Геннадьевна"/>
    <s v="Ользатиева Л. Г."/>
    <x v="0"/>
  </r>
  <r>
    <n v="235"/>
    <n v="1"/>
    <x v="1"/>
    <x v="14"/>
    <n v="148"/>
    <n v="40164"/>
    <n v="5944272"/>
    <x v="1"/>
    <s v="Байбикова Наиля Миясяровна"/>
    <s v="Байбикова Н. М."/>
    <x v="0"/>
  </r>
  <r>
    <n v="236"/>
    <n v="3"/>
    <x v="6"/>
    <x v="91"/>
    <n v="182"/>
    <n v="27206"/>
    <n v="4951492"/>
    <x v="0"/>
    <s v="Попова Антонина Алексеевна"/>
    <s v="Попова А. А."/>
    <x v="0"/>
  </r>
  <r>
    <n v="237"/>
    <n v="3"/>
    <x v="6"/>
    <x v="149"/>
    <n v="27"/>
    <n v="59254"/>
    <n v="1599858"/>
    <x v="0"/>
    <s v="Анфалова Лилия Рузилевна"/>
    <s v="Анфалова Л. Р."/>
    <x v="0"/>
  </r>
  <r>
    <n v="238"/>
    <n v="6"/>
    <x v="0"/>
    <x v="7"/>
    <n v="101"/>
    <n v="69715"/>
    <n v="7041215"/>
    <x v="1"/>
    <s v="Ильина Татьяна Николаевна"/>
    <s v="Ильина Т. Н."/>
    <x v="0"/>
  </r>
  <r>
    <n v="239"/>
    <n v="2"/>
    <x v="3"/>
    <x v="150"/>
    <n v="143"/>
    <n v="9642"/>
    <n v="1378806"/>
    <x v="0"/>
    <s v="Дружинин Андрей Владимирович"/>
    <s v="Дружинин А. В."/>
    <x v="0"/>
  </r>
  <r>
    <n v="240"/>
    <n v="1"/>
    <x v="1"/>
    <x v="151"/>
    <n v="195"/>
    <n v="41723"/>
    <n v="8135985"/>
    <x v="1"/>
    <s v="Попова Антонина Алексеевна"/>
    <s v="Попова А. А."/>
    <x v="0"/>
  </r>
  <r>
    <n v="241"/>
    <n v="2"/>
    <x v="3"/>
    <x v="152"/>
    <n v="125"/>
    <n v="34085"/>
    <n v="4260625"/>
    <x v="0"/>
    <s v="Павлова Надежда Ивановна"/>
    <s v="Павлова Н. И."/>
    <x v="0"/>
  </r>
  <r>
    <n v="242"/>
    <n v="1"/>
    <x v="1"/>
    <x v="103"/>
    <n v="38"/>
    <n v="78356"/>
    <n v="2977528"/>
    <x v="0"/>
    <s v="Зубова Ирина Михайловна"/>
    <s v="Зубова И. М."/>
    <x v="0"/>
  </r>
  <r>
    <n v="243"/>
    <n v="4"/>
    <x v="4"/>
    <x v="153"/>
    <n v="54"/>
    <n v="79030"/>
    <n v="4267620"/>
    <x v="0"/>
    <s v="Кадырова Елена Анатольевна"/>
    <s v="Кадырова Е. А."/>
    <x v="0"/>
  </r>
  <r>
    <n v="244"/>
    <n v="6"/>
    <x v="0"/>
    <x v="6"/>
    <n v="180"/>
    <n v="88096"/>
    <n v="15857280"/>
    <x v="2"/>
    <s v="Минина Татьяна Викторовна"/>
    <s v="Минина Т. В."/>
    <x v="0"/>
  </r>
  <r>
    <n v="245"/>
    <n v="4"/>
    <x v="4"/>
    <x v="154"/>
    <n v="79"/>
    <n v="20097"/>
    <n v="1587663"/>
    <x v="0"/>
    <s v="Васнин Валерий Викторович"/>
    <s v="Васнин В. В."/>
    <x v="0"/>
  </r>
  <r>
    <n v="246"/>
    <n v="1"/>
    <x v="1"/>
    <x v="155"/>
    <n v="144"/>
    <n v="38434"/>
    <n v="5534496"/>
    <x v="1"/>
    <s v="Клепизонова Валентина Александровна"/>
    <s v="Клепизонова В. А."/>
    <x v="0"/>
  </r>
  <r>
    <n v="247"/>
    <n v="7"/>
    <x v="2"/>
    <x v="156"/>
    <n v="71"/>
    <n v="92796"/>
    <n v="6588516"/>
    <x v="1"/>
    <s v="Пиканов Владимир Петрович"/>
    <s v="Пиканов В. П."/>
    <x v="0"/>
  </r>
  <r>
    <n v="248"/>
    <n v="3"/>
    <x v="6"/>
    <x v="43"/>
    <n v="106"/>
    <n v="59244"/>
    <n v="6279864"/>
    <x v="1"/>
    <s v="Неклюдова Ирина Ивановна"/>
    <s v="Неклюдова И. И."/>
    <x v="0"/>
  </r>
  <r>
    <n v="249"/>
    <n v="5"/>
    <x v="5"/>
    <x v="157"/>
    <n v="183"/>
    <n v="36204"/>
    <n v="6625332"/>
    <x v="1"/>
    <s v="Паршакова Татьяна Леонтьевна"/>
    <s v="Паршакова Т. Л."/>
    <x v="0"/>
  </r>
  <r>
    <n v="250"/>
    <n v="7"/>
    <x v="2"/>
    <x v="35"/>
    <n v="143"/>
    <n v="57362"/>
    <n v="8202766"/>
    <x v="1"/>
    <s v="Патрушева Вероника Вадимовна"/>
    <s v="Патрушева В. В."/>
    <x v="0"/>
  </r>
  <r>
    <n v="251"/>
    <n v="4"/>
    <x v="4"/>
    <x v="158"/>
    <n v="161"/>
    <n v="91828"/>
    <n v="14784308"/>
    <x v="2"/>
    <s v="Клепизонова Валентина Александровна"/>
    <s v="Клепизонова В. А."/>
    <x v="0"/>
  </r>
  <r>
    <n v="252"/>
    <n v="7"/>
    <x v="2"/>
    <x v="159"/>
    <n v="21"/>
    <n v="68414"/>
    <n v="1436694"/>
    <x v="0"/>
    <s v="Барсукова Фаина Александровна"/>
    <s v="Барсукова Ф. А."/>
    <x v="0"/>
  </r>
  <r>
    <n v="253"/>
    <n v="6"/>
    <x v="0"/>
    <x v="35"/>
    <n v="153"/>
    <n v="12942"/>
    <n v="1980126"/>
    <x v="0"/>
    <s v="Иванов Василий Геннадьевич"/>
    <s v="Иванов В. Г."/>
    <x v="0"/>
  </r>
  <r>
    <n v="254"/>
    <n v="5"/>
    <x v="5"/>
    <x v="33"/>
    <n v="18"/>
    <n v="90221"/>
    <n v="1623978"/>
    <x v="0"/>
    <s v="Зубова Ирина Михайловна"/>
    <s v="Зубова И. М."/>
    <x v="0"/>
  </r>
  <r>
    <n v="255"/>
    <n v="3"/>
    <x v="6"/>
    <x v="160"/>
    <n v="181"/>
    <n v="18180"/>
    <n v="3290580"/>
    <x v="0"/>
    <s v="Каскеева Екатерина Алексеевна"/>
    <s v="Каскеева Е. А."/>
    <x v="0"/>
  </r>
  <r>
    <n v="256"/>
    <n v="1"/>
    <x v="1"/>
    <x v="161"/>
    <n v="36"/>
    <n v="51338"/>
    <n v="1848168"/>
    <x v="0"/>
    <s v="Минина Татьяна Викторовна"/>
    <s v="Минина Т. В."/>
    <x v="0"/>
  </r>
  <r>
    <n v="257"/>
    <n v="2"/>
    <x v="3"/>
    <x v="162"/>
    <n v="161"/>
    <n v="12008"/>
    <n v="1933288"/>
    <x v="0"/>
    <s v="Зуева Елена Юрьевна"/>
    <s v="Зуева Е. Ю."/>
    <x v="0"/>
  </r>
  <r>
    <n v="258"/>
    <n v="4"/>
    <x v="4"/>
    <x v="163"/>
    <n v="27"/>
    <n v="3629"/>
    <n v="97983"/>
    <x v="0"/>
    <s v="Крапивина Любовь Владимировна"/>
    <s v="Крапивина Л. В."/>
    <x v="0"/>
  </r>
  <r>
    <n v="259"/>
    <n v="6"/>
    <x v="0"/>
    <x v="47"/>
    <n v="82"/>
    <n v="22663"/>
    <n v="1858366"/>
    <x v="0"/>
    <s v="Анфалова Лилия Рузилевна"/>
    <s v="Анфалова Л. Р."/>
    <x v="0"/>
  </r>
  <r>
    <n v="260"/>
    <n v="5"/>
    <x v="5"/>
    <x v="164"/>
    <n v="83"/>
    <n v="76513"/>
    <n v="6350579"/>
    <x v="1"/>
    <s v="Пономарева Светлана Викторовна"/>
    <s v="Пономарева С. В."/>
    <x v="0"/>
  </r>
  <r>
    <n v="261"/>
    <n v="2"/>
    <x v="3"/>
    <x v="61"/>
    <n v="27"/>
    <n v="94098"/>
    <n v="2540646"/>
    <x v="0"/>
    <s v="Ильина Татьяна Николаевна"/>
    <s v="Ильина Т. Н."/>
    <x v="0"/>
  </r>
  <r>
    <n v="262"/>
    <n v="1"/>
    <x v="1"/>
    <x v="165"/>
    <n v="80"/>
    <n v="3939"/>
    <n v="315120"/>
    <x v="0"/>
    <s v="Мамаева Ольга Юрьевна"/>
    <s v="Мамаева О. Ю."/>
    <x v="0"/>
  </r>
  <r>
    <n v="263"/>
    <n v="7"/>
    <x v="2"/>
    <x v="70"/>
    <n v="197"/>
    <n v="64903"/>
    <n v="12785891"/>
    <x v="2"/>
    <s v="Лоскутова Маргарита Валентиновна"/>
    <s v="Лоскутова М. В."/>
    <x v="0"/>
  </r>
  <r>
    <n v="264"/>
    <n v="7"/>
    <x v="2"/>
    <x v="166"/>
    <n v="92"/>
    <n v="85510"/>
    <n v="7866920"/>
    <x v="1"/>
    <s v="Крапивина Любовь Владимировна"/>
    <s v="Крапивина Л. В."/>
    <x v="0"/>
  </r>
  <r>
    <n v="265"/>
    <n v="6"/>
    <x v="0"/>
    <x v="12"/>
    <n v="120"/>
    <n v="33387"/>
    <n v="4006440"/>
    <x v="0"/>
    <s v="Косикова Елена Александровна"/>
    <s v="Косикова Е. А."/>
    <x v="0"/>
  </r>
  <r>
    <n v="266"/>
    <n v="7"/>
    <x v="2"/>
    <x v="167"/>
    <n v="96"/>
    <n v="61430"/>
    <n v="5897280"/>
    <x v="1"/>
    <s v="Пермякова Ольга Анатольевна"/>
    <s v="Пермякова О. А."/>
    <x v="0"/>
  </r>
  <r>
    <n v="267"/>
    <n v="4"/>
    <x v="4"/>
    <x v="168"/>
    <n v="13"/>
    <n v="32974"/>
    <n v="428662"/>
    <x v="0"/>
    <s v="Барсукова Фаина Александровна"/>
    <s v="Барсукова Ф. А."/>
    <x v="0"/>
  </r>
  <r>
    <n v="268"/>
    <n v="4"/>
    <x v="4"/>
    <x v="169"/>
    <n v="57"/>
    <n v="13944"/>
    <n v="794808"/>
    <x v="0"/>
    <s v="Попова Антонина Алексеевна"/>
    <s v="Попова А. А."/>
    <x v="0"/>
  </r>
  <r>
    <n v="269"/>
    <n v="2"/>
    <x v="3"/>
    <x v="170"/>
    <n v="113"/>
    <n v="34992"/>
    <n v="3954096"/>
    <x v="0"/>
    <s v="Пономарева Светлана Викторовна"/>
    <s v="Пономарева С. В."/>
    <x v="0"/>
  </r>
  <r>
    <n v="270"/>
    <n v="1"/>
    <x v="1"/>
    <x v="106"/>
    <n v="71"/>
    <n v="19525"/>
    <n v="1386275"/>
    <x v="0"/>
    <s v="Павлова Надежда Ивановна"/>
    <s v="Павлова Н. И."/>
    <x v="0"/>
  </r>
  <r>
    <n v="271"/>
    <n v="6"/>
    <x v="0"/>
    <x v="90"/>
    <n v="120"/>
    <n v="48261"/>
    <n v="5791320"/>
    <x v="1"/>
    <s v="Паршакова Татьяна Леонтьевна"/>
    <s v="Паршакова Т. Л."/>
    <x v="0"/>
  </r>
  <r>
    <n v="272"/>
    <n v="7"/>
    <x v="2"/>
    <x v="171"/>
    <n v="177"/>
    <n v="72549"/>
    <n v="12841173"/>
    <x v="2"/>
    <s v="Клепизонова Валентина Александровна"/>
    <s v="Клепизонова В. А."/>
    <x v="0"/>
  </r>
  <r>
    <n v="273"/>
    <n v="6"/>
    <x v="0"/>
    <x v="41"/>
    <n v="167"/>
    <n v="12116"/>
    <n v="2023372"/>
    <x v="0"/>
    <s v="Анфалова Лилия Рузилевна"/>
    <s v="Анфалова Л. Р."/>
    <x v="0"/>
  </r>
  <r>
    <n v="274"/>
    <n v="4"/>
    <x v="4"/>
    <x v="49"/>
    <n v="52"/>
    <n v="98904"/>
    <n v="5143008"/>
    <x v="1"/>
    <s v="Бармина Юлия Анатольевна"/>
    <s v="Бармина Ю. А."/>
    <x v="0"/>
  </r>
  <r>
    <n v="275"/>
    <n v="4"/>
    <x v="4"/>
    <x v="37"/>
    <n v="70"/>
    <n v="44203"/>
    <n v="3094210"/>
    <x v="0"/>
    <s v="Крапивина Любовь Владимировна"/>
    <s v="Крапивина Л. В."/>
    <x v="0"/>
  </r>
  <r>
    <n v="276"/>
    <n v="5"/>
    <x v="5"/>
    <x v="172"/>
    <n v="28"/>
    <n v="64360"/>
    <n v="1802080"/>
    <x v="0"/>
    <s v="Пермякова Ольга Анатольевна"/>
    <s v="Пермякова О. А."/>
    <x v="0"/>
  </r>
  <r>
    <n v="277"/>
    <n v="1"/>
    <x v="1"/>
    <x v="99"/>
    <n v="97"/>
    <n v="15912"/>
    <n v="1543464"/>
    <x v="0"/>
    <s v="Королев Алексей Михайлович"/>
    <s v="Королев А. М."/>
    <x v="0"/>
  </r>
  <r>
    <n v="278"/>
    <n v="1"/>
    <x v="1"/>
    <x v="139"/>
    <n v="192"/>
    <n v="75174"/>
    <n v="14433408"/>
    <x v="2"/>
    <s v="Попова Антонина Алексеевна"/>
    <s v="Попова А. А."/>
    <x v="0"/>
  </r>
  <r>
    <n v="279"/>
    <n v="5"/>
    <x v="5"/>
    <x v="173"/>
    <n v="43"/>
    <n v="29259"/>
    <n v="1258137"/>
    <x v="0"/>
    <s v="Зубова Ирина Михайловна"/>
    <s v="Зубова И. М."/>
    <x v="0"/>
  </r>
  <r>
    <n v="280"/>
    <n v="3"/>
    <x v="6"/>
    <x v="174"/>
    <n v="79"/>
    <n v="97637"/>
    <n v="7713323"/>
    <x v="1"/>
    <s v="Минина Татьяна Викторовна"/>
    <s v="Минина Т. В."/>
    <x v="0"/>
  </r>
  <r>
    <n v="281"/>
    <n v="4"/>
    <x v="4"/>
    <x v="139"/>
    <n v="134"/>
    <n v="17154"/>
    <n v="2298636"/>
    <x v="0"/>
    <s v="Меркушев Алексей Сергеевич"/>
    <s v="Меркушев А. С."/>
    <x v="0"/>
  </r>
  <r>
    <n v="282"/>
    <n v="4"/>
    <x v="4"/>
    <x v="175"/>
    <n v="136"/>
    <n v="12224"/>
    <n v="1662464"/>
    <x v="0"/>
    <s v="Лакеенков Дмитрий Владимирович"/>
    <s v="Лакеенков Д. В."/>
    <x v="0"/>
  </r>
  <r>
    <n v="283"/>
    <n v="7"/>
    <x v="2"/>
    <x v="121"/>
    <n v="2"/>
    <n v="71426"/>
    <n v="142852"/>
    <x v="0"/>
    <s v="Пермякова Ольга Анатольевна"/>
    <s v="Пермякова О. А."/>
    <x v="0"/>
  </r>
  <r>
    <n v="284"/>
    <n v="4"/>
    <x v="4"/>
    <x v="45"/>
    <n v="26"/>
    <n v="79152"/>
    <n v="2057952"/>
    <x v="0"/>
    <s v="Иванова Лидия Николаевна"/>
    <s v="Иванова Л. Н."/>
    <x v="0"/>
  </r>
  <r>
    <n v="285"/>
    <n v="7"/>
    <x v="2"/>
    <x v="133"/>
    <n v="3"/>
    <n v="23196"/>
    <n v="69588"/>
    <x v="0"/>
    <s v="Патрушева Вероника Вадимовна"/>
    <s v="Патрушева В. В."/>
    <x v="0"/>
  </r>
  <r>
    <n v="286"/>
    <n v="2"/>
    <x v="3"/>
    <x v="40"/>
    <n v="103"/>
    <n v="8127"/>
    <n v="837081"/>
    <x v="0"/>
    <s v="Неклюдова Ирина Ивановна"/>
    <s v="Неклюдова И. И."/>
    <x v="0"/>
  </r>
  <r>
    <n v="287"/>
    <n v="1"/>
    <x v="1"/>
    <x v="57"/>
    <n v="142"/>
    <n v="2104"/>
    <n v="298768"/>
    <x v="0"/>
    <s v="Меркушев Алексей Сергеевич"/>
    <s v="Меркушев А. С."/>
    <x v="0"/>
  </r>
  <r>
    <n v="288"/>
    <n v="3"/>
    <x v="6"/>
    <x v="59"/>
    <n v="47"/>
    <n v="32950"/>
    <n v="1548650"/>
    <x v="0"/>
    <s v="Власова Лариса Анатольевна"/>
    <s v="Власова Л. А."/>
    <x v="0"/>
  </r>
  <r>
    <n v="289"/>
    <n v="7"/>
    <x v="2"/>
    <x v="61"/>
    <n v="145"/>
    <n v="88936"/>
    <n v="12895720"/>
    <x v="2"/>
    <s v="Демидова Елена Борисовна"/>
    <s v="Демидова Е. Б."/>
    <x v="0"/>
  </r>
  <r>
    <n v="290"/>
    <n v="4"/>
    <x v="4"/>
    <x v="176"/>
    <n v="41"/>
    <n v="62126"/>
    <n v="2547166"/>
    <x v="0"/>
    <s v="Мамаева Ольга Юрьевна"/>
    <s v="Мамаева О. Ю."/>
    <x v="0"/>
  </r>
  <r>
    <n v="291"/>
    <n v="1"/>
    <x v="1"/>
    <x v="176"/>
    <n v="87"/>
    <n v="92384"/>
    <n v="8037408"/>
    <x v="1"/>
    <s v="Дьякова Татьяна Аркадьевна"/>
    <s v="Дьякова Т. А."/>
    <x v="0"/>
  </r>
  <r>
    <n v="292"/>
    <n v="2"/>
    <x v="3"/>
    <x v="36"/>
    <n v="145"/>
    <n v="23888"/>
    <n v="3463760"/>
    <x v="0"/>
    <s v="Пермякова Ольга Анатольевна"/>
    <s v="Пермякова О. А."/>
    <x v="0"/>
  </r>
  <r>
    <n v="293"/>
    <n v="1"/>
    <x v="1"/>
    <x v="61"/>
    <n v="152"/>
    <n v="74744"/>
    <n v="11361088"/>
    <x v="2"/>
    <s v="Анфалова Лилия Рузилевна"/>
    <s v="Анфалова Л. Р."/>
    <x v="0"/>
  </r>
  <r>
    <n v="294"/>
    <n v="5"/>
    <x v="5"/>
    <x v="153"/>
    <n v="37"/>
    <n v="51742"/>
    <n v="1914454"/>
    <x v="0"/>
    <s v="Зуева Елена Юрьевна"/>
    <s v="Зуева Е. Ю."/>
    <x v="0"/>
  </r>
  <r>
    <n v="295"/>
    <n v="3"/>
    <x v="6"/>
    <x v="144"/>
    <n v="37"/>
    <n v="75424"/>
    <n v="2790688"/>
    <x v="0"/>
    <s v="Мамаева Ольга Юрьевна"/>
    <s v="Мамаева О. Ю."/>
    <x v="0"/>
  </r>
  <r>
    <n v="296"/>
    <n v="3"/>
    <x v="6"/>
    <x v="123"/>
    <n v="83"/>
    <n v="60971"/>
    <n v="5060593"/>
    <x v="1"/>
    <s v="Абалтусова Вера Геннадьевна"/>
    <s v="Абалтусова В. Г."/>
    <x v="0"/>
  </r>
  <r>
    <n v="297"/>
    <n v="3"/>
    <x v="6"/>
    <x v="28"/>
    <n v="102"/>
    <n v="67654"/>
    <n v="6900708"/>
    <x v="1"/>
    <s v="Неклюдова Ирина Ивановна"/>
    <s v="Неклюдова И. И."/>
    <x v="0"/>
  </r>
  <r>
    <n v="298"/>
    <n v="5"/>
    <x v="5"/>
    <x v="157"/>
    <n v="158"/>
    <n v="73974"/>
    <n v="11687892"/>
    <x v="2"/>
    <s v="Власова Лариса Анатольевна"/>
    <s v="Власова Л. А."/>
    <x v="0"/>
  </r>
  <r>
    <n v="299"/>
    <n v="4"/>
    <x v="4"/>
    <x v="177"/>
    <n v="82"/>
    <n v="30503"/>
    <n v="2501246"/>
    <x v="0"/>
    <s v="Лакеенков Дмитрий Владимирович"/>
    <s v="Лакеенков Д. В."/>
    <x v="0"/>
  </r>
  <r>
    <n v="300"/>
    <n v="5"/>
    <x v="5"/>
    <x v="102"/>
    <n v="12"/>
    <n v="51189"/>
    <n v="614268"/>
    <x v="0"/>
    <s v="Кадырова Елена Анатольевна"/>
    <s v="Кадырова Е. А."/>
    <x v="0"/>
  </r>
  <r>
    <n v="301"/>
    <n v="5"/>
    <x v="5"/>
    <x v="178"/>
    <n v="113"/>
    <n v="59292"/>
    <n v="6699996"/>
    <x v="1"/>
    <s v="Подчуфарова Жанна Анатольевна"/>
    <s v="Подчуфарова Ж. А."/>
    <x v="0"/>
  </r>
  <r>
    <n v="302"/>
    <n v="7"/>
    <x v="2"/>
    <x v="179"/>
    <n v="141"/>
    <n v="12108"/>
    <n v="1707228"/>
    <x v="0"/>
    <s v="Королев Алексей Михайлович"/>
    <s v="Королев А. М."/>
    <x v="0"/>
  </r>
  <r>
    <n v="303"/>
    <n v="3"/>
    <x v="6"/>
    <x v="180"/>
    <n v="35"/>
    <n v="25750"/>
    <n v="901250"/>
    <x v="0"/>
    <s v="Лыхина Тамара Алексеевна"/>
    <s v="Лыхина Т. А."/>
    <x v="0"/>
  </r>
  <r>
    <n v="304"/>
    <n v="3"/>
    <x v="6"/>
    <x v="181"/>
    <n v="165"/>
    <n v="78630"/>
    <n v="12973950"/>
    <x v="2"/>
    <s v="Давыдова Татьяна Константиновна"/>
    <s v="Давыдова Т. К."/>
    <x v="0"/>
  </r>
  <r>
    <n v="305"/>
    <n v="1"/>
    <x v="1"/>
    <x v="97"/>
    <n v="130"/>
    <n v="92026"/>
    <n v="11963380"/>
    <x v="2"/>
    <s v="Воробьева Юлия Александровна"/>
    <s v="Воробьева Ю. А."/>
    <x v="0"/>
  </r>
  <r>
    <n v="306"/>
    <n v="7"/>
    <x v="2"/>
    <x v="182"/>
    <n v="158"/>
    <n v="73917"/>
    <n v="11678886"/>
    <x v="2"/>
    <s v="Лоскутова Маргарита Валентиновна"/>
    <s v="Лоскутова М. В."/>
    <x v="0"/>
  </r>
  <r>
    <n v="307"/>
    <n v="5"/>
    <x v="5"/>
    <x v="136"/>
    <n v="96"/>
    <n v="18888"/>
    <n v="1813248"/>
    <x v="0"/>
    <s v="Васнин Валерий Викторович"/>
    <s v="Васнин В. В."/>
    <x v="0"/>
  </r>
  <r>
    <n v="308"/>
    <n v="2"/>
    <x v="3"/>
    <x v="172"/>
    <n v="145"/>
    <n v="64015"/>
    <n v="9282175"/>
    <x v="1"/>
    <s v="Зуева Елена Юрьевна"/>
    <s v="Зуева Е. Ю."/>
    <x v="0"/>
  </r>
  <r>
    <n v="309"/>
    <n v="3"/>
    <x v="6"/>
    <x v="45"/>
    <n v="68"/>
    <n v="53007"/>
    <n v="3604476"/>
    <x v="0"/>
    <s v="Исцелемова Светлана Александровна"/>
    <s v="Исцелемова С. А."/>
    <x v="0"/>
  </r>
  <r>
    <n v="310"/>
    <n v="2"/>
    <x v="3"/>
    <x v="169"/>
    <n v="23"/>
    <n v="16218"/>
    <n v="373014"/>
    <x v="0"/>
    <s v="Клепизонова Валентина Александровна"/>
    <s v="Клепизонова В. А."/>
    <x v="0"/>
  </r>
  <r>
    <n v="311"/>
    <n v="1"/>
    <x v="1"/>
    <x v="21"/>
    <n v="139"/>
    <n v="34439"/>
    <n v="4787021"/>
    <x v="0"/>
    <s v="Ильина Татьяна Николаевна"/>
    <s v="Ильина Т. Н."/>
    <x v="0"/>
  </r>
  <r>
    <n v="312"/>
    <n v="7"/>
    <x v="2"/>
    <x v="13"/>
    <n v="14"/>
    <n v="81351"/>
    <n v="1138914"/>
    <x v="0"/>
    <s v="Паршакова Татьяна Леонтьевна"/>
    <s v="Паршакова Т. Л."/>
    <x v="0"/>
  </r>
  <r>
    <n v="313"/>
    <n v="3"/>
    <x v="6"/>
    <x v="10"/>
    <n v="164"/>
    <n v="51510"/>
    <n v="8447640"/>
    <x v="1"/>
    <s v="Паршакова Татьяна Леонтьевна"/>
    <s v="Паршакова Т. Л."/>
    <x v="0"/>
  </r>
  <r>
    <n v="314"/>
    <n v="5"/>
    <x v="5"/>
    <x v="67"/>
    <n v="33"/>
    <n v="67134"/>
    <n v="2215422"/>
    <x v="0"/>
    <s v="Пермякова Ольга Анатольевна"/>
    <s v="Пермякова О. А."/>
    <x v="0"/>
  </r>
  <r>
    <n v="315"/>
    <n v="5"/>
    <x v="5"/>
    <x v="7"/>
    <n v="170"/>
    <n v="25056"/>
    <n v="4259520"/>
    <x v="0"/>
    <s v="Дружинин Андрей Владимирович"/>
    <s v="Дружинин А. В."/>
    <x v="0"/>
  </r>
  <r>
    <n v="316"/>
    <n v="1"/>
    <x v="1"/>
    <x v="121"/>
    <n v="87"/>
    <n v="49052"/>
    <n v="4267524"/>
    <x v="0"/>
    <s v="Патрушева Вероника Вадимовна"/>
    <s v="Патрушева В. В."/>
    <x v="0"/>
  </r>
  <r>
    <n v="317"/>
    <n v="2"/>
    <x v="3"/>
    <x v="50"/>
    <n v="164"/>
    <n v="68985"/>
    <n v="11313540"/>
    <x v="2"/>
    <s v="Коновалов Петр Иванович"/>
    <s v="Коновалов П. И."/>
    <x v="0"/>
  </r>
  <r>
    <n v="318"/>
    <n v="7"/>
    <x v="2"/>
    <x v="110"/>
    <n v="35"/>
    <n v="6374"/>
    <n v="223090"/>
    <x v="0"/>
    <s v="Паршакова Татьяна Леонтьевна"/>
    <s v="Паршакова Т. Л."/>
    <x v="0"/>
  </r>
  <r>
    <n v="319"/>
    <n v="2"/>
    <x v="3"/>
    <x v="183"/>
    <n v="189"/>
    <n v="59646"/>
    <n v="11273094"/>
    <x v="2"/>
    <s v="Васнин Валерий Викторович"/>
    <s v="Васнин В. В."/>
    <x v="0"/>
  </r>
  <r>
    <n v="320"/>
    <n v="6"/>
    <x v="0"/>
    <x v="165"/>
    <n v="196"/>
    <n v="76965"/>
    <n v="15085140"/>
    <x v="2"/>
    <s v="Ильина Татьяна Николаевна"/>
    <s v="Ильина Т. Н."/>
    <x v="0"/>
  </r>
  <r>
    <n v="321"/>
    <n v="2"/>
    <x v="3"/>
    <x v="184"/>
    <n v="39"/>
    <n v="64848"/>
    <n v="2529072"/>
    <x v="0"/>
    <s v="Патрушева Вероника Вадимовна"/>
    <s v="Патрушева В. В."/>
    <x v="0"/>
  </r>
  <r>
    <n v="322"/>
    <n v="5"/>
    <x v="5"/>
    <x v="185"/>
    <n v="82"/>
    <n v="52862"/>
    <n v="4334684"/>
    <x v="0"/>
    <s v="Подчуфарова Жанна Анатольевна"/>
    <s v="Подчуфарова Ж. А."/>
    <x v="0"/>
  </r>
  <r>
    <n v="323"/>
    <n v="3"/>
    <x v="6"/>
    <x v="186"/>
    <n v="99"/>
    <n v="47696"/>
    <n v="4721904"/>
    <x v="0"/>
    <s v="Королев Алексей Михайлович"/>
    <s v="Королев А. М."/>
    <x v="0"/>
  </r>
  <r>
    <n v="324"/>
    <n v="5"/>
    <x v="5"/>
    <x v="108"/>
    <n v="41"/>
    <n v="92568"/>
    <n v="3795288"/>
    <x v="0"/>
    <s v="Байбикова Наиля Миясяровна"/>
    <s v="Байбикова Н. М."/>
    <x v="0"/>
  </r>
  <r>
    <n v="325"/>
    <n v="5"/>
    <x v="5"/>
    <x v="187"/>
    <n v="124"/>
    <n v="39379"/>
    <n v="4882996"/>
    <x v="0"/>
    <s v="Демидова Елена Борисовна"/>
    <s v="Демидова Е. Б."/>
    <x v="0"/>
  </r>
  <r>
    <n v="326"/>
    <n v="1"/>
    <x v="1"/>
    <x v="188"/>
    <n v="181"/>
    <n v="44354"/>
    <n v="8028074"/>
    <x v="1"/>
    <s v="Дьякова Татьяна Аркадьевна"/>
    <s v="Дьякова Т. А."/>
    <x v="0"/>
  </r>
  <r>
    <n v="327"/>
    <n v="4"/>
    <x v="4"/>
    <x v="128"/>
    <n v="159"/>
    <n v="35070"/>
    <n v="5576130"/>
    <x v="1"/>
    <s v="Гордеева Александра Петровна"/>
    <s v="Гордеева А. П."/>
    <x v="0"/>
  </r>
  <r>
    <n v="328"/>
    <n v="3"/>
    <x v="6"/>
    <x v="166"/>
    <n v="194"/>
    <n v="46278"/>
    <n v="8977932"/>
    <x v="1"/>
    <s v="Каскеева Екатерина Алексеевна"/>
    <s v="Каскеева Е. А."/>
    <x v="0"/>
  </r>
  <r>
    <n v="329"/>
    <n v="6"/>
    <x v="0"/>
    <x v="189"/>
    <n v="110"/>
    <n v="61371"/>
    <n v="6750810"/>
    <x v="1"/>
    <s v="Лакеенков Дмитрий Владимирович"/>
    <s v="Лакеенков Д. В."/>
    <x v="0"/>
  </r>
  <r>
    <n v="330"/>
    <n v="2"/>
    <x v="3"/>
    <x v="190"/>
    <n v="102"/>
    <n v="99569"/>
    <n v="10156038"/>
    <x v="2"/>
    <s v="Мец Владимир Петрович"/>
    <s v="Мец В. П."/>
    <x v="0"/>
  </r>
  <r>
    <n v="331"/>
    <n v="6"/>
    <x v="0"/>
    <x v="191"/>
    <n v="132"/>
    <n v="89461"/>
    <n v="11808852"/>
    <x v="2"/>
    <s v="Каячева Маргарита Владиславовна"/>
    <s v="Каячева М. В."/>
    <x v="0"/>
  </r>
  <r>
    <n v="332"/>
    <n v="6"/>
    <x v="0"/>
    <x v="190"/>
    <n v="161"/>
    <n v="41411"/>
    <n v="6667171"/>
    <x v="1"/>
    <s v="Исцелемова Светлана Александровна"/>
    <s v="Исцелемова С. А."/>
    <x v="0"/>
  </r>
  <r>
    <n v="333"/>
    <n v="5"/>
    <x v="5"/>
    <x v="3"/>
    <n v="178"/>
    <n v="48684"/>
    <n v="8665752"/>
    <x v="1"/>
    <s v="Голдобина Алевтина Владимировна"/>
    <s v="Голдобина А. В.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3">
  <r>
    <n v="1"/>
    <n v="6"/>
    <s v="Харьков"/>
    <x v="0"/>
    <n v="22"/>
    <n v="59432"/>
    <n v="1307504"/>
    <s v="A"/>
    <s v="Олифер Елена Руфимовна"/>
    <s v="Олифер Е. Р."/>
    <d v="2015-10-27T00:00:00"/>
  </r>
  <r>
    <n v="2"/>
    <n v="1"/>
    <s v="Москва"/>
    <x v="1"/>
    <n v="197"/>
    <n v="30235"/>
    <n v="5956295"/>
    <s v="B"/>
    <s v="Гудошников Александр Владимирович"/>
    <s v="Гудошников А. В."/>
    <d v="2013-12-23T00:00:00"/>
  </r>
  <r>
    <n v="3"/>
    <n v="6"/>
    <s v="Харьков"/>
    <x v="2"/>
    <n v="186"/>
    <n v="29755"/>
    <n v="5534430"/>
    <s v="B"/>
    <s v="Каячева Маргарита Владиславовна"/>
    <s v="Каячева М. В."/>
    <d v="2016-12-15T00:00:00"/>
  </r>
  <r>
    <n v="4"/>
    <n v="7"/>
    <s v="Йошкар-Ола"/>
    <x v="3"/>
    <n v="50"/>
    <n v="79752"/>
    <n v="3987600"/>
    <s v="A"/>
    <s v="Пиканов Владимир Петрович"/>
    <s v="Пиканов В. П."/>
    <d v="2015-10-22T00:00:00"/>
  </r>
  <r>
    <n v="5"/>
    <n v="2"/>
    <s v="Санкт-Петербург"/>
    <x v="4"/>
    <n v="76"/>
    <n v="85545"/>
    <n v="6501420"/>
    <s v="B"/>
    <s v="Васнин Валерий Викторович"/>
    <s v="Васнин В. В."/>
    <d v="2013-10-14T00:00:00"/>
  </r>
  <r>
    <n v="6"/>
    <n v="1"/>
    <s v="Москва"/>
    <x v="5"/>
    <n v="190"/>
    <n v="87135"/>
    <n v="16555650"/>
    <s v="C"/>
    <s v="Иванов Василий Геннадьевич"/>
    <s v="Иванов В. Г."/>
    <d v="2014-10-16T00:00:00"/>
  </r>
  <r>
    <n v="7"/>
    <n v="4"/>
    <s v="Казань"/>
    <x v="6"/>
    <n v="126"/>
    <n v="76019"/>
    <n v="9578394"/>
    <s v="B"/>
    <s v="Исцелемова Светлана Александровна"/>
    <s v="Исцелемова С. А."/>
    <d v="2016-10-15T00:00:00"/>
  </r>
  <r>
    <n v="8"/>
    <n v="5"/>
    <s v="Омск"/>
    <x v="7"/>
    <n v="186"/>
    <n v="96610"/>
    <n v="17969460"/>
    <s v="C"/>
    <s v="Попова Антонина Алексеевна"/>
    <s v="Попова А. А."/>
    <d v="2013-12-20T00:00:00"/>
  </r>
  <r>
    <n v="9"/>
    <n v="3"/>
    <s v="Челябинск"/>
    <x v="8"/>
    <n v="139"/>
    <n v="66796"/>
    <n v="9284644"/>
    <s v="B"/>
    <s v="Лакеенков Дмитрий Владимирович"/>
    <s v="Лакеенков Д. В."/>
    <d v="2017-10-16T00:00:00"/>
  </r>
  <r>
    <n v="10"/>
    <n v="5"/>
    <s v="Омск"/>
    <x v="9"/>
    <n v="34"/>
    <n v="51879"/>
    <n v="1763886"/>
    <s v="A"/>
    <s v="Пиканов Владимир Петрович"/>
    <s v="Пиканов В. П."/>
    <d v="2014-12-19T00:00:00"/>
  </r>
  <r>
    <n v="11"/>
    <n v="1"/>
    <s v="Москва"/>
    <x v="10"/>
    <n v="94"/>
    <n v="23469"/>
    <n v="2206086"/>
    <s v="A"/>
    <s v="Макарова Нина Яковлевна"/>
    <s v="Макарова Н. Я."/>
    <d v="2013-11-26T00:00:00"/>
  </r>
  <r>
    <n v="12"/>
    <n v="7"/>
    <s v="Йошкар-Ола"/>
    <x v="11"/>
    <n v="82"/>
    <n v="61458"/>
    <n v="5039556"/>
    <s v="B"/>
    <s v="Минина Татьяна Викторовна"/>
    <s v="Минина Т. В."/>
    <d v="2016-10-16T00:00:00"/>
  </r>
  <r>
    <n v="13"/>
    <n v="2"/>
    <s v="Санкт-Петербург"/>
    <x v="12"/>
    <n v="164"/>
    <n v="16045"/>
    <n v="2631380"/>
    <s v="A"/>
    <s v="Дружинин Андрей Владимирович"/>
    <s v="Дружинин А. В."/>
    <d v="2017-10-10T00:00:00"/>
  </r>
  <r>
    <n v="14"/>
    <n v="1"/>
    <s v="Москва"/>
    <x v="13"/>
    <n v="6"/>
    <n v="70254"/>
    <n v="421524"/>
    <s v="A"/>
    <s v="Королев Алексей Михайлович"/>
    <s v="Королев А. М."/>
    <d v="2015-10-26T00:00:00"/>
  </r>
  <r>
    <n v="15"/>
    <n v="7"/>
    <s v="Йошкар-Ола"/>
    <x v="14"/>
    <n v="118"/>
    <n v="22242"/>
    <n v="2624556"/>
    <s v="A"/>
    <s v="Лоскутова Маргарита Валентиновна"/>
    <s v="Лоскутова М. В."/>
    <d v="2013-12-11T00:00:00"/>
  </r>
  <r>
    <n v="16"/>
    <n v="3"/>
    <s v="Челябинск"/>
    <x v="15"/>
    <n v="133"/>
    <n v="58595"/>
    <n v="7793135"/>
    <s v="B"/>
    <s v="Попова Антонина Алексеевна"/>
    <s v="Попова А. А."/>
    <d v="2014-11-20T00:00:00"/>
  </r>
  <r>
    <n v="17"/>
    <n v="4"/>
    <s v="Казань"/>
    <x v="16"/>
    <n v="191"/>
    <n v="80676"/>
    <n v="15409116"/>
    <s v="C"/>
    <s v="Каячева Маргарита Владиславовна"/>
    <s v="Каячева М. В."/>
    <d v="2017-11-20T00:00:00"/>
  </r>
  <r>
    <n v="18"/>
    <n v="4"/>
    <s v="Казань"/>
    <x v="17"/>
    <n v="166"/>
    <n v="12316"/>
    <n v="2044456"/>
    <s v="A"/>
    <s v="Коновалов Петр Иванович"/>
    <s v="Коновалов П. И."/>
    <d v="2017-12-13T00:00:00"/>
  </r>
  <r>
    <n v="19"/>
    <n v="1"/>
    <s v="Москва"/>
    <x v="15"/>
    <n v="108"/>
    <n v="6913"/>
    <n v="746604"/>
    <s v="A"/>
    <s v="Байбикова Наиля Миясяровна"/>
    <s v="Байбикова Н. М."/>
    <d v="2014-11-20T00:00:00"/>
  </r>
  <r>
    <n v="20"/>
    <n v="4"/>
    <s v="Казань"/>
    <x v="18"/>
    <n v="44"/>
    <n v="8031"/>
    <n v="353364"/>
    <s v="A"/>
    <s v="Абалтусова Вера Геннадьевна"/>
    <s v="Абалтусова В. Г."/>
    <d v="2014-11-21T00:00:00"/>
  </r>
  <r>
    <n v="21"/>
    <n v="1"/>
    <s v="Москва"/>
    <x v="19"/>
    <n v="114"/>
    <n v="34727"/>
    <n v="3958878"/>
    <s v="A"/>
    <s v="Оносов Александр Геннадьевич"/>
    <s v="Оносов А. Г."/>
    <d v="2017-10-19T00:00:00"/>
  </r>
  <r>
    <n v="22"/>
    <n v="2"/>
    <s v="Санкт-Петербург"/>
    <x v="20"/>
    <n v="189"/>
    <n v="34166"/>
    <n v="6457374"/>
    <s v="B"/>
    <s v="Абалтусова Вера Геннадьевна"/>
    <s v="Абалтусова В. Г."/>
    <d v="2014-12-20T00:00:00"/>
  </r>
  <r>
    <n v="23"/>
    <n v="1"/>
    <s v="Москва"/>
    <x v="21"/>
    <n v="102"/>
    <n v="84120"/>
    <n v="8580240"/>
    <s v="B"/>
    <s v="Мец Владимир Петрович"/>
    <s v="Мец В. П."/>
    <d v="2013-12-10T00:00:00"/>
  </r>
  <r>
    <n v="24"/>
    <n v="3"/>
    <s v="Челябинск"/>
    <x v="22"/>
    <n v="42"/>
    <n v="85888"/>
    <n v="3607296"/>
    <s v="A"/>
    <s v="Петрушкевич Ольга Васильевна"/>
    <s v="Петрушкевич О. В."/>
    <d v="2016-10-10T00:00:00"/>
  </r>
  <r>
    <n v="25"/>
    <n v="3"/>
    <s v="Челябинск"/>
    <x v="23"/>
    <n v="135"/>
    <n v="65737"/>
    <n v="8874495"/>
    <s v="B"/>
    <s v="Коновалов Петр Иванович"/>
    <s v="Коновалов П. И."/>
    <d v="2015-11-13T00:00:00"/>
  </r>
  <r>
    <n v="26"/>
    <n v="2"/>
    <s v="Санкт-Петербург"/>
    <x v="24"/>
    <n v="110"/>
    <n v="14139"/>
    <n v="1555290"/>
    <s v="A"/>
    <s v="Зуева Елена Юрьевна"/>
    <s v="Зуева Е. Ю."/>
    <d v="2015-12-24T00:00:00"/>
  </r>
  <r>
    <n v="27"/>
    <n v="3"/>
    <s v="Челябинск"/>
    <x v="25"/>
    <n v="82"/>
    <n v="48019"/>
    <n v="3937558"/>
    <s v="A"/>
    <s v="Минина Татьяна Викторовна"/>
    <s v="Минина Т. В."/>
    <d v="2016-12-26T00:00:00"/>
  </r>
  <r>
    <n v="28"/>
    <n v="5"/>
    <s v="Омск"/>
    <x v="26"/>
    <n v="30"/>
    <n v="34286"/>
    <n v="1028580"/>
    <s v="A"/>
    <s v="Демидова Елена Борисовна"/>
    <s v="Демидова Е. Б."/>
    <d v="2013-12-19T00:00:00"/>
  </r>
  <r>
    <n v="29"/>
    <n v="1"/>
    <s v="Москва"/>
    <x v="27"/>
    <n v="52"/>
    <n v="42098"/>
    <n v="2189096"/>
    <s v="A"/>
    <s v="Лакеенков Дмитрий Владимирович"/>
    <s v="Лакеенков Д. В."/>
    <d v="2014-11-16T00:00:00"/>
  </r>
  <r>
    <n v="30"/>
    <n v="1"/>
    <s v="Москва"/>
    <x v="2"/>
    <n v="156"/>
    <n v="98308"/>
    <n v="15336048"/>
    <s v="C"/>
    <s v="Минина Татьяна Викторовна"/>
    <s v="Минина Т. В."/>
    <d v="2016-12-15T00:00:00"/>
  </r>
  <r>
    <n v="31"/>
    <n v="4"/>
    <s v="Казань"/>
    <x v="28"/>
    <n v="124"/>
    <n v="60741"/>
    <n v="7531884"/>
    <s v="B"/>
    <s v="Меркушев Алексей Сергеевич"/>
    <s v="Меркушев А. С."/>
    <d v="2017-10-14T00:00:00"/>
  </r>
  <r>
    <n v="32"/>
    <n v="5"/>
    <s v="Омск"/>
    <x v="19"/>
    <n v="111"/>
    <n v="94566"/>
    <n v="10496826"/>
    <s v="C"/>
    <s v="Ильина Татьяна Николаевна"/>
    <s v="Ильина Т. Н."/>
    <d v="2017-10-19T00:00:00"/>
  </r>
  <r>
    <n v="33"/>
    <n v="1"/>
    <s v="Москва"/>
    <x v="29"/>
    <n v="50"/>
    <n v="86217"/>
    <n v="4310850"/>
    <s v="A"/>
    <s v="Дьякова Татьяна Аркадьевна"/>
    <s v="Дьякова Т. А."/>
    <d v="2016-11-27T00:00:00"/>
  </r>
  <r>
    <n v="34"/>
    <n v="3"/>
    <s v="Челябинск"/>
    <x v="29"/>
    <n v="82"/>
    <n v="31676"/>
    <n v="2597432"/>
    <s v="A"/>
    <s v="Иванов Василий Геннадьевич"/>
    <s v="Иванов В. Г."/>
    <d v="2016-11-27T00:00:00"/>
  </r>
  <r>
    <n v="35"/>
    <n v="5"/>
    <s v="Омск"/>
    <x v="30"/>
    <n v="39"/>
    <n v="52864"/>
    <n v="2061696"/>
    <s v="A"/>
    <s v="Иванова Лидия Николаевна"/>
    <s v="Иванова Л. Н."/>
    <d v="2013-11-19T00:00:00"/>
  </r>
  <r>
    <n v="36"/>
    <n v="5"/>
    <s v="Омск"/>
    <x v="31"/>
    <n v="57"/>
    <n v="81929"/>
    <n v="4669953"/>
    <s v="A"/>
    <s v="Клепизонова Валентина Александровна"/>
    <s v="Клепизонова В. А."/>
    <d v="2015-11-11T00:00:00"/>
  </r>
  <r>
    <n v="37"/>
    <n v="5"/>
    <s v="Омск"/>
    <x v="32"/>
    <n v="50"/>
    <n v="59677"/>
    <n v="2983850"/>
    <s v="A"/>
    <s v="Королев Алексей Михайлович"/>
    <s v="Королев А. М."/>
    <d v="2017-11-24T00:00:00"/>
  </r>
  <r>
    <n v="38"/>
    <n v="1"/>
    <s v="Москва"/>
    <x v="33"/>
    <n v="18"/>
    <n v="47034"/>
    <n v="846612"/>
    <s v="A"/>
    <s v="Каскеева Екатерина Алексеевна"/>
    <s v="Каскеева Е. А."/>
    <d v="2016-12-12T00:00:00"/>
  </r>
  <r>
    <n v="39"/>
    <n v="6"/>
    <s v="Харьков"/>
    <x v="34"/>
    <n v="169"/>
    <n v="63847"/>
    <n v="10790143"/>
    <s v="C"/>
    <s v="Павлова Надежда Ивановна"/>
    <s v="Павлова Н. И."/>
    <d v="2014-12-12T00:00:00"/>
  </r>
  <r>
    <n v="40"/>
    <n v="6"/>
    <s v="Харьков"/>
    <x v="35"/>
    <n v="195"/>
    <n v="93598"/>
    <n v="18251610"/>
    <s v="C"/>
    <s v="Мец Владимир Петрович"/>
    <s v="Мец В. П."/>
    <d v="2013-10-18T00:00:00"/>
  </r>
  <r>
    <n v="41"/>
    <n v="7"/>
    <s v="Йошкар-Ола"/>
    <x v="36"/>
    <n v="104"/>
    <n v="44828"/>
    <n v="4662112"/>
    <s v="A"/>
    <s v="Петрушкевич Ольга Васильевна"/>
    <s v="Петрушкевич О. В."/>
    <d v="2015-10-12T00:00:00"/>
  </r>
  <r>
    <n v="42"/>
    <n v="6"/>
    <s v="Харьков"/>
    <x v="37"/>
    <n v="84"/>
    <n v="89621"/>
    <n v="7528164"/>
    <s v="B"/>
    <s v="Исцелемова Светлана Александровна"/>
    <s v="Исцелемова С. А."/>
    <d v="2015-10-11T00:00:00"/>
  </r>
  <r>
    <n v="43"/>
    <n v="3"/>
    <s v="Челябинск"/>
    <x v="38"/>
    <n v="78"/>
    <n v="23480"/>
    <n v="1831440"/>
    <s v="A"/>
    <s v="Клепизонова Валентина Александровна"/>
    <s v="Клепизонова В. А."/>
    <d v="2017-10-11T00:00:00"/>
  </r>
  <r>
    <n v="44"/>
    <n v="6"/>
    <s v="Харьков"/>
    <x v="39"/>
    <n v="161"/>
    <n v="32002"/>
    <n v="5152322"/>
    <s v="B"/>
    <s v="Васнин Валерий Викторович"/>
    <s v="Васнин В. В."/>
    <d v="2015-10-14T00:00:00"/>
  </r>
  <r>
    <n v="45"/>
    <n v="2"/>
    <s v="Санкт-Петербург"/>
    <x v="40"/>
    <n v="184"/>
    <n v="33769"/>
    <n v="6213496"/>
    <s v="B"/>
    <s v="Бармина Юлия Анатольевна"/>
    <s v="Бармина Ю. А."/>
    <d v="2015-12-18T00:00:00"/>
  </r>
  <r>
    <n v="46"/>
    <n v="7"/>
    <s v="Йошкар-Ола"/>
    <x v="41"/>
    <n v="81"/>
    <n v="96172"/>
    <n v="7789932"/>
    <s v="B"/>
    <s v="Королев Алексей Михайлович"/>
    <s v="Королев А. М."/>
    <d v="2013-10-21T00:00:00"/>
  </r>
  <r>
    <n v="47"/>
    <n v="3"/>
    <s v="Челябинск"/>
    <x v="42"/>
    <n v="155"/>
    <n v="16996"/>
    <n v="2634380"/>
    <s v="A"/>
    <s v="Гудошников Александр Владимирович"/>
    <s v="Гудошников А. В."/>
    <d v="2017-12-15T00:00:00"/>
  </r>
  <r>
    <n v="48"/>
    <n v="6"/>
    <s v="Харьков"/>
    <x v="43"/>
    <n v="125"/>
    <n v="24015"/>
    <n v="3001875"/>
    <s v="A"/>
    <s v="Голдобина Алевтина Владимировна"/>
    <s v="Голдобина А. В."/>
    <d v="2013-11-24T00:00:00"/>
  </r>
  <r>
    <n v="49"/>
    <n v="2"/>
    <s v="Санкт-Петербург"/>
    <x v="44"/>
    <n v="129"/>
    <n v="80267"/>
    <n v="10354443"/>
    <s v="C"/>
    <s v="Каячева Маргарита Владиславовна"/>
    <s v="Каячева М. В."/>
    <d v="2016-12-20T00:00:00"/>
  </r>
  <r>
    <n v="50"/>
    <n v="1"/>
    <s v="Москва"/>
    <x v="45"/>
    <n v="34"/>
    <n v="36460"/>
    <n v="1239640"/>
    <s v="A"/>
    <s v="Давыдова Татьяна Константиновна"/>
    <s v="Давыдова Т. К."/>
    <d v="2014-12-21T00:00:00"/>
  </r>
  <r>
    <n v="51"/>
    <n v="6"/>
    <s v="Харьков"/>
    <x v="46"/>
    <n v="82"/>
    <n v="63434"/>
    <n v="5201588"/>
    <s v="B"/>
    <s v="Подчуфарова Жанна Анатольевна"/>
    <s v="Подчуфарова Ж. А."/>
    <d v="2015-11-20T00:00:00"/>
  </r>
  <r>
    <n v="52"/>
    <n v="3"/>
    <s v="Челябинск"/>
    <x v="47"/>
    <n v="81"/>
    <n v="2425"/>
    <n v="196425"/>
    <s v="A"/>
    <s v="Клепизонова Валентина Александровна"/>
    <s v="Клепизонова В. А."/>
    <d v="2015-11-14T00:00:00"/>
  </r>
  <r>
    <n v="53"/>
    <n v="5"/>
    <s v="Омск"/>
    <x v="33"/>
    <n v="168"/>
    <n v="85114"/>
    <n v="14299152"/>
    <s v="C"/>
    <s v="Дьякова Татьяна Аркадьевна"/>
    <s v="Дьякова Т. А."/>
    <d v="2016-12-12T00:00:00"/>
  </r>
  <r>
    <n v="54"/>
    <n v="3"/>
    <s v="Челябинск"/>
    <x v="48"/>
    <n v="39"/>
    <n v="17248"/>
    <n v="672672"/>
    <s v="A"/>
    <s v="Лакеенков Дмитрий Владимирович"/>
    <s v="Лакеенков Д. В."/>
    <d v="2013-10-22T00:00:00"/>
  </r>
  <r>
    <n v="55"/>
    <n v="7"/>
    <s v="Йошкар-Ола"/>
    <x v="49"/>
    <n v="5"/>
    <n v="88309"/>
    <n v="441545"/>
    <s v="A"/>
    <s v="Барсукова Фаина Александровна"/>
    <s v="Барсукова Ф. А."/>
    <d v="2014-11-12T00:00:00"/>
  </r>
  <r>
    <n v="56"/>
    <n v="7"/>
    <s v="Йошкар-Ола"/>
    <x v="50"/>
    <n v="173"/>
    <n v="40962"/>
    <n v="7086426"/>
    <s v="B"/>
    <s v="Пономарева Светлана Викторовна"/>
    <s v="Пономарева С. В."/>
    <d v="2017-10-21T00:00:00"/>
  </r>
  <r>
    <n v="57"/>
    <n v="6"/>
    <s v="Харьков"/>
    <x v="51"/>
    <n v="19"/>
    <n v="56221"/>
    <n v="1068199"/>
    <s v="A"/>
    <s v="Олифер Елена Руфимовна"/>
    <s v="Олифер Е. Р."/>
    <d v="2017-12-14T00:00:00"/>
  </r>
  <r>
    <n v="58"/>
    <n v="1"/>
    <s v="Москва"/>
    <x v="52"/>
    <n v="14"/>
    <n v="20095"/>
    <n v="281330"/>
    <s v="A"/>
    <s v="Иванов Василий Геннадьевич"/>
    <s v="Иванов В. Г."/>
    <d v="2015-12-26T00:00:00"/>
  </r>
  <r>
    <n v="59"/>
    <n v="4"/>
    <s v="Казань"/>
    <x v="53"/>
    <n v="98"/>
    <n v="91317"/>
    <n v="8949066"/>
    <s v="B"/>
    <s v="Бармина Юлия Анатольевна"/>
    <s v="Бармина Ю. А."/>
    <d v="2013-10-17T00:00:00"/>
  </r>
  <r>
    <n v="60"/>
    <n v="3"/>
    <s v="Челябинск"/>
    <x v="54"/>
    <n v="132"/>
    <n v="76945"/>
    <n v="10156740"/>
    <s v="C"/>
    <s v="Ильина Татьяна Николаевна"/>
    <s v="Ильина Т. Н."/>
    <d v="2014-10-10T00:00:00"/>
  </r>
  <r>
    <n v="61"/>
    <n v="2"/>
    <s v="Санкт-Петербург"/>
    <x v="45"/>
    <n v="39"/>
    <n v="24189"/>
    <n v="943371"/>
    <s v="A"/>
    <s v="Басова Светлана Сергеевна"/>
    <s v="Басова С. С."/>
    <d v="2014-12-21T00:00:00"/>
  </r>
  <r>
    <n v="62"/>
    <n v="7"/>
    <s v="Йошкар-Ола"/>
    <x v="55"/>
    <n v="193"/>
    <n v="49459"/>
    <n v="9545587"/>
    <s v="B"/>
    <s v="Минина Татьяна Викторовна"/>
    <s v="Минина Т. В."/>
    <d v="2016-10-28T00:00:00"/>
  </r>
  <r>
    <n v="63"/>
    <n v="3"/>
    <s v="Челябинск"/>
    <x v="56"/>
    <n v="157"/>
    <n v="3950"/>
    <n v="620150"/>
    <s v="A"/>
    <s v="Подчуфарова Жанна Анатольевна"/>
    <s v="Подчуфарова Ж. А."/>
    <d v="2014-11-18T00:00:00"/>
  </r>
  <r>
    <n v="64"/>
    <n v="1"/>
    <s v="Москва"/>
    <x v="44"/>
    <n v="89"/>
    <n v="29253"/>
    <n v="2603517"/>
    <s v="A"/>
    <s v="Пиканов Владимир Петрович"/>
    <s v="Пиканов В. П."/>
    <d v="2016-12-20T00:00:00"/>
  </r>
  <r>
    <n v="65"/>
    <n v="2"/>
    <s v="Санкт-Петербург"/>
    <x v="57"/>
    <n v="172"/>
    <n v="56912"/>
    <n v="9788864"/>
    <s v="B"/>
    <s v="Лоскутова Маргарита Валентиновна"/>
    <s v="Лоскутова М. В."/>
    <d v="2017-12-12T00:00:00"/>
  </r>
  <r>
    <n v="66"/>
    <n v="6"/>
    <s v="Харьков"/>
    <x v="58"/>
    <n v="169"/>
    <n v="11483"/>
    <n v="1940627"/>
    <s v="A"/>
    <s v="Васнин Валерий Викторович"/>
    <s v="Васнин В. В."/>
    <d v="2015-12-27T00:00:00"/>
  </r>
  <r>
    <n v="67"/>
    <n v="6"/>
    <s v="Харьков"/>
    <x v="59"/>
    <n v="193"/>
    <n v="96368"/>
    <n v="18599024"/>
    <s v="C"/>
    <s v="Иванова Лидия Николаевна"/>
    <s v="Иванова Л. Н."/>
    <d v="2014-12-13T00:00:00"/>
  </r>
  <r>
    <n v="68"/>
    <n v="2"/>
    <s v="Санкт-Петербург"/>
    <x v="11"/>
    <n v="149"/>
    <n v="99797"/>
    <n v="14869753"/>
    <s v="C"/>
    <s v="Минина Татьяна Викторовна"/>
    <s v="Минина Т. В."/>
    <d v="2016-10-16T00:00:00"/>
  </r>
  <r>
    <n v="69"/>
    <n v="5"/>
    <s v="Омск"/>
    <x v="60"/>
    <n v="57"/>
    <n v="50491"/>
    <n v="2877987"/>
    <s v="A"/>
    <s v="Дьякова Татьяна Аркадьевна"/>
    <s v="Дьякова Т. А."/>
    <d v="2013-11-14T00:00:00"/>
  </r>
  <r>
    <n v="70"/>
    <n v="2"/>
    <s v="Санкт-Петербург"/>
    <x v="61"/>
    <n v="188"/>
    <n v="7020"/>
    <n v="1319760"/>
    <s v="A"/>
    <s v="Иванов Василий Геннадьевич"/>
    <s v="Иванов В. Г."/>
    <d v="2014-11-13T00:00:00"/>
  </r>
  <r>
    <n v="71"/>
    <n v="5"/>
    <s v="Омск"/>
    <x v="8"/>
    <n v="103"/>
    <n v="91452"/>
    <n v="9419556"/>
    <s v="B"/>
    <s v="Пиканов Владимир Петрович"/>
    <s v="Пиканов В. П."/>
    <d v="2017-10-16T00:00:00"/>
  </r>
  <r>
    <n v="72"/>
    <n v="7"/>
    <s v="Йошкар-Ола"/>
    <x v="62"/>
    <n v="72"/>
    <n v="12808"/>
    <n v="922176"/>
    <s v="A"/>
    <s v="Давыдова Татьяна Константиновна"/>
    <s v="Давыдова Т. К."/>
    <d v="2015-10-20T00:00:00"/>
  </r>
  <r>
    <n v="73"/>
    <n v="4"/>
    <s v="Казань"/>
    <x v="63"/>
    <n v="177"/>
    <n v="29427"/>
    <n v="5208579"/>
    <s v="B"/>
    <s v="Гудошников Александр Владимирович"/>
    <s v="Гудошников А. В."/>
    <d v="2014-10-28T00:00:00"/>
  </r>
  <r>
    <n v="74"/>
    <n v="3"/>
    <s v="Челябинск"/>
    <x v="64"/>
    <n v="137"/>
    <n v="90999"/>
    <n v="12466863"/>
    <s v="C"/>
    <s v="Минина Татьяна Викторовна"/>
    <s v="Минина Т. В."/>
    <d v="2016-10-21T00:00:00"/>
  </r>
  <r>
    <n v="75"/>
    <n v="1"/>
    <s v="Москва"/>
    <x v="65"/>
    <n v="29"/>
    <n v="45948"/>
    <n v="1332492"/>
    <s v="A"/>
    <s v="Гребенева Татьяна Владимировна"/>
    <s v="Гребенева Т. В."/>
    <d v="2014-12-16T00:00:00"/>
  </r>
  <r>
    <n v="76"/>
    <n v="3"/>
    <s v="Челябинск"/>
    <x v="66"/>
    <n v="115"/>
    <n v="29721"/>
    <n v="3417915"/>
    <s v="A"/>
    <s v="Исцелемова Светлана Александровна"/>
    <s v="Исцелемова С. А."/>
    <d v="2013-11-28T00:00:00"/>
  </r>
  <r>
    <n v="77"/>
    <n v="5"/>
    <s v="Омск"/>
    <x v="8"/>
    <n v="114"/>
    <n v="34364"/>
    <n v="3917496"/>
    <s v="A"/>
    <s v="Лыхина Тамара Алексеевна"/>
    <s v="Лыхина Т. А."/>
    <d v="2017-10-16T00:00:00"/>
  </r>
  <r>
    <n v="78"/>
    <n v="6"/>
    <s v="Харьков"/>
    <x v="19"/>
    <n v="179"/>
    <n v="99140"/>
    <n v="17746060"/>
    <s v="C"/>
    <s v="Исцелемова Светлана Александровна"/>
    <s v="Исцелемова С. А."/>
    <d v="2017-10-19T00:00:00"/>
  </r>
  <r>
    <n v="79"/>
    <n v="7"/>
    <s v="Йошкар-Ола"/>
    <x v="67"/>
    <n v="163"/>
    <n v="92224"/>
    <n v="15032512"/>
    <s v="C"/>
    <s v="Павлова Надежда Ивановна"/>
    <s v="Павлова Н. И."/>
    <d v="2013-10-12T00:00:00"/>
  </r>
  <r>
    <n v="80"/>
    <n v="2"/>
    <s v="Санкт-Петербург"/>
    <x v="68"/>
    <n v="99"/>
    <n v="60862"/>
    <n v="6025338"/>
    <s v="B"/>
    <s v="Лыхина Тамара Алексеевна"/>
    <s v="Лыхина Т. А."/>
    <d v="2017-11-23T00:00:00"/>
  </r>
  <r>
    <n v="81"/>
    <n v="4"/>
    <s v="Казань"/>
    <x v="69"/>
    <n v="150"/>
    <n v="51901"/>
    <n v="7785150"/>
    <s v="B"/>
    <s v="Гордеева Александра Петровна"/>
    <s v="Гордеева А. П."/>
    <d v="2016-11-22T00:00:00"/>
  </r>
  <r>
    <n v="82"/>
    <n v="2"/>
    <s v="Санкт-Петербург"/>
    <x v="70"/>
    <n v="119"/>
    <n v="77585"/>
    <n v="9232615"/>
    <s v="B"/>
    <s v="Лоскутова Маргарита Валентиновна"/>
    <s v="Лоскутова М. В."/>
    <d v="2013-11-20T00:00:00"/>
  </r>
  <r>
    <n v="83"/>
    <n v="2"/>
    <s v="Санкт-Петербург"/>
    <x v="71"/>
    <n v="168"/>
    <n v="25362"/>
    <n v="4260816"/>
    <s v="A"/>
    <s v="Бармина Юлия Анатольевна"/>
    <s v="Бармина Ю. А."/>
    <d v="2016-10-24T00:00:00"/>
  </r>
  <r>
    <n v="84"/>
    <n v="2"/>
    <s v="Санкт-Петербург"/>
    <x v="72"/>
    <n v="80"/>
    <n v="51773"/>
    <n v="4141840"/>
    <s v="A"/>
    <s v="Лыхина Тамара Алексеевна"/>
    <s v="Лыхина Т. А."/>
    <d v="2017-11-13T00:00:00"/>
  </r>
  <r>
    <n v="85"/>
    <n v="5"/>
    <s v="Омск"/>
    <x v="14"/>
    <n v="62"/>
    <n v="64743"/>
    <n v="4014066"/>
    <s v="A"/>
    <s v="Исцелемова Светлана Александровна"/>
    <s v="Исцелемова С. А."/>
    <d v="2013-12-11T00:00:00"/>
  </r>
  <r>
    <n v="86"/>
    <n v="7"/>
    <s v="Йошкар-Ола"/>
    <x v="56"/>
    <n v="131"/>
    <n v="43165"/>
    <n v="5654615"/>
    <s v="B"/>
    <s v="Гордеева Александра Петровна"/>
    <s v="Гордеева А. П."/>
    <d v="2014-11-18T00:00:00"/>
  </r>
  <r>
    <n v="87"/>
    <n v="7"/>
    <s v="Йошкар-Ола"/>
    <x v="61"/>
    <n v="101"/>
    <n v="64554"/>
    <n v="6519954"/>
    <s v="B"/>
    <s v="Каскеева Екатерина Алексеевна"/>
    <s v="Каскеева Е. А."/>
    <d v="2014-11-13T00:00:00"/>
  </r>
  <r>
    <n v="88"/>
    <n v="3"/>
    <s v="Челябинск"/>
    <x v="71"/>
    <n v="193"/>
    <n v="48357"/>
    <n v="9332901"/>
    <s v="B"/>
    <s v="Абалтусова Вера Геннадьевна"/>
    <s v="Абалтусова В. Г."/>
    <d v="2016-10-24T00:00:00"/>
  </r>
  <r>
    <n v="89"/>
    <n v="6"/>
    <s v="Харьков"/>
    <x v="11"/>
    <n v="93"/>
    <n v="2361"/>
    <n v="219573"/>
    <s v="A"/>
    <s v="Петрушкевич Ольга Васильевна"/>
    <s v="Петрушкевич О. В."/>
    <d v="2016-10-16T00:00:00"/>
  </r>
  <r>
    <n v="90"/>
    <n v="2"/>
    <s v="Санкт-Петербург"/>
    <x v="17"/>
    <n v="99"/>
    <n v="85385"/>
    <n v="8453115"/>
    <s v="B"/>
    <s v="Анфалова Лилия Рузилевна"/>
    <s v="Анфалова Л. Р."/>
    <d v="2017-12-13T00:00:00"/>
  </r>
  <r>
    <n v="91"/>
    <n v="6"/>
    <s v="Харьков"/>
    <x v="48"/>
    <n v="88"/>
    <n v="25175"/>
    <n v="2215400"/>
    <s v="A"/>
    <s v="Минина Любовь Анатольевна"/>
    <s v="Минина Л. А."/>
    <d v="2013-10-22T00:00:00"/>
  </r>
  <r>
    <n v="92"/>
    <n v="7"/>
    <s v="Йошкар-Ола"/>
    <x v="73"/>
    <n v="186"/>
    <n v="13570"/>
    <n v="2524020"/>
    <s v="A"/>
    <s v="Анфалова Лилия Рузилевна"/>
    <s v="Анфалова Л. Р."/>
    <d v="2017-11-10T00:00:00"/>
  </r>
  <r>
    <n v="93"/>
    <n v="4"/>
    <s v="Казань"/>
    <x v="74"/>
    <n v="124"/>
    <n v="54739"/>
    <n v="6787636"/>
    <s v="B"/>
    <s v="Коновалов Петр Иванович"/>
    <s v="Коновалов П. И."/>
    <d v="2017-10-28T00:00:00"/>
  </r>
  <r>
    <n v="94"/>
    <n v="3"/>
    <s v="Челябинск"/>
    <x v="75"/>
    <n v="35"/>
    <n v="67099"/>
    <n v="2348465"/>
    <s v="A"/>
    <s v="Меркушев Алексей Сергеевич"/>
    <s v="Меркушев А. С."/>
    <d v="2017-11-27T00:00:00"/>
  </r>
  <r>
    <n v="95"/>
    <n v="5"/>
    <s v="Омск"/>
    <x v="35"/>
    <n v="98"/>
    <n v="23521"/>
    <n v="2305058"/>
    <s v="A"/>
    <s v="Демидова Елена Борисовна"/>
    <s v="Демидова Е. Б."/>
    <d v="2013-10-18T00:00:00"/>
  </r>
  <r>
    <n v="96"/>
    <n v="6"/>
    <s v="Харьков"/>
    <x v="47"/>
    <n v="92"/>
    <n v="13952"/>
    <n v="1283584"/>
    <s v="A"/>
    <s v="Клепизонова Валентина Александровна"/>
    <s v="Клепизонова В. А."/>
    <d v="2015-11-14T00:00:00"/>
  </r>
  <r>
    <n v="97"/>
    <n v="3"/>
    <s v="Челябинск"/>
    <x v="76"/>
    <n v="70"/>
    <n v="52841"/>
    <n v="3698870"/>
    <s v="A"/>
    <s v="Зуева Елена Юрьевна"/>
    <s v="Зуева Е. Ю."/>
    <d v="2017-11-26T00:00:00"/>
  </r>
  <r>
    <n v="98"/>
    <n v="5"/>
    <s v="Омск"/>
    <x v="71"/>
    <n v="84"/>
    <n v="16140"/>
    <n v="1355760"/>
    <s v="A"/>
    <s v="Клепизонова Валентина Александровна"/>
    <s v="Клепизонова В. А."/>
    <d v="2016-10-24T00:00:00"/>
  </r>
  <r>
    <n v="99"/>
    <n v="4"/>
    <s v="Казань"/>
    <x v="77"/>
    <n v="105"/>
    <n v="18739"/>
    <n v="1967595"/>
    <s v="A"/>
    <s v="Минина Любовь Анатольевна"/>
    <s v="Минина Л. А."/>
    <d v="2014-11-10T00:00:00"/>
  </r>
  <r>
    <n v="100"/>
    <n v="2"/>
    <s v="Санкт-Петербург"/>
    <x v="78"/>
    <n v="44"/>
    <n v="64874"/>
    <n v="2854456"/>
    <s v="A"/>
    <s v="Ользатиева Людмила Геннадьевна"/>
    <s v="Ользатиева Л. Г."/>
    <d v="2016-12-14T00:00:00"/>
  </r>
  <r>
    <n v="101"/>
    <n v="6"/>
    <s v="Харьков"/>
    <x v="79"/>
    <n v="178"/>
    <n v="43950"/>
    <n v="7823100"/>
    <s v="B"/>
    <s v="Дьякова Татьяна Аркадьевна"/>
    <s v="Дьякова Т. А."/>
    <d v="2013-12-21T00:00:00"/>
  </r>
  <r>
    <n v="102"/>
    <n v="3"/>
    <s v="Челябинск"/>
    <x v="80"/>
    <n v="146"/>
    <n v="74137"/>
    <n v="10824002"/>
    <s v="C"/>
    <s v="Зуева Елена Юрьевна"/>
    <s v="Зуева Е. Ю."/>
    <d v="2014-12-24T00:00:00"/>
  </r>
  <r>
    <n v="103"/>
    <n v="2"/>
    <s v="Санкт-Петербург"/>
    <x v="81"/>
    <n v="7"/>
    <n v="19916"/>
    <n v="139412"/>
    <s v="A"/>
    <s v="Каячева Маргарита Владиславовна"/>
    <s v="Каячева М. В."/>
    <d v="2014-10-15T00:00:00"/>
  </r>
  <r>
    <n v="104"/>
    <n v="2"/>
    <s v="Санкт-Петербург"/>
    <x v="55"/>
    <n v="125"/>
    <n v="2316"/>
    <n v="289500"/>
    <s v="A"/>
    <s v="Олифер Елена Руфимовна"/>
    <s v="Олифер Е. Р."/>
    <d v="2016-10-28T00:00:00"/>
  </r>
  <r>
    <n v="105"/>
    <n v="1"/>
    <s v="Москва"/>
    <x v="82"/>
    <n v="153"/>
    <n v="98478"/>
    <n v="15067134"/>
    <s v="C"/>
    <s v="Байбикова Наиля Миясяровна"/>
    <s v="Байбикова Н. М."/>
    <d v="2016-11-14T00:00:00"/>
  </r>
  <r>
    <n v="106"/>
    <n v="2"/>
    <s v="Санкт-Петербург"/>
    <x v="83"/>
    <n v="100"/>
    <n v="45539"/>
    <n v="4553900"/>
    <s v="A"/>
    <s v="Меркушев Алексей Сергеевич"/>
    <s v="Меркушев А. С."/>
    <d v="2014-10-20T00:00:00"/>
  </r>
  <r>
    <n v="107"/>
    <n v="3"/>
    <s v="Челябинск"/>
    <x v="84"/>
    <n v="23"/>
    <n v="95297"/>
    <n v="2191831"/>
    <s v="A"/>
    <s v="Гордеева Александра Петровна"/>
    <s v="Гордеева А. П."/>
    <d v="2014-12-27T00:00:00"/>
  </r>
  <r>
    <n v="108"/>
    <n v="5"/>
    <s v="Омск"/>
    <x v="85"/>
    <n v="183"/>
    <n v="65851"/>
    <n v="12050733"/>
    <s v="C"/>
    <s v="Мец Владимир Петрович"/>
    <s v="Мец В. П."/>
    <d v="2013-11-10T00:00:00"/>
  </r>
  <r>
    <n v="109"/>
    <n v="4"/>
    <s v="Казань"/>
    <x v="30"/>
    <n v="81"/>
    <n v="15394"/>
    <n v="1246914"/>
    <s v="A"/>
    <s v="Каячева Маргарита Владиславовна"/>
    <s v="Каячева М. В."/>
    <d v="2013-11-19T00:00:00"/>
  </r>
  <r>
    <n v="110"/>
    <n v="4"/>
    <s v="Казань"/>
    <x v="33"/>
    <n v="10"/>
    <n v="76702"/>
    <n v="767020"/>
    <s v="A"/>
    <s v="Патрушева Вероника Вадимовна"/>
    <s v="Патрушева В. В."/>
    <d v="2016-12-12T00:00:00"/>
  </r>
  <r>
    <n v="111"/>
    <n v="3"/>
    <s v="Челябинск"/>
    <x v="86"/>
    <n v="35"/>
    <n v="95595"/>
    <n v="3345825"/>
    <s v="A"/>
    <s v="Дружинин Андрей Владимирович"/>
    <s v="Дружинин А. В."/>
    <d v="2014-10-17T00:00:00"/>
  </r>
  <r>
    <n v="112"/>
    <n v="4"/>
    <s v="Казань"/>
    <x v="43"/>
    <n v="110"/>
    <n v="86581"/>
    <n v="9523910"/>
    <s v="B"/>
    <s v="Байбикова Наиля Миясяровна"/>
    <s v="Байбикова Н. М."/>
    <d v="2013-11-24T00:00:00"/>
  </r>
  <r>
    <n v="113"/>
    <n v="3"/>
    <s v="Челябинск"/>
    <x v="53"/>
    <n v="81"/>
    <n v="23545"/>
    <n v="1907145"/>
    <s v="A"/>
    <s v="Дружинин Андрей Владимирович"/>
    <s v="Дружинин А. В."/>
    <d v="2013-10-17T00:00:00"/>
  </r>
  <r>
    <n v="114"/>
    <n v="7"/>
    <s v="Йошкар-Ола"/>
    <x v="1"/>
    <n v="74"/>
    <n v="28460"/>
    <n v="2106040"/>
    <s v="A"/>
    <s v="Гудошников Александр Владимирович"/>
    <s v="Гудошников А. В."/>
    <d v="2013-12-23T00:00:00"/>
  </r>
  <r>
    <n v="115"/>
    <n v="6"/>
    <s v="Харьков"/>
    <x v="87"/>
    <n v="62"/>
    <n v="50784"/>
    <n v="3148608"/>
    <s v="A"/>
    <s v="Павлова Надежда Ивановна"/>
    <s v="Павлова Н. И."/>
    <d v="2014-11-27T00:00:00"/>
  </r>
  <r>
    <n v="116"/>
    <n v="5"/>
    <s v="Омск"/>
    <x v="34"/>
    <n v="16"/>
    <n v="31755"/>
    <n v="508080"/>
    <s v="A"/>
    <s v="Каячева Маргарита Владиславовна"/>
    <s v="Каячева М. В."/>
    <d v="2014-12-12T00:00:00"/>
  </r>
  <r>
    <n v="117"/>
    <n v="4"/>
    <s v="Казань"/>
    <x v="88"/>
    <n v="191"/>
    <n v="46014"/>
    <n v="8788674"/>
    <s v="B"/>
    <s v="Байбикова Наиля Миясяровна"/>
    <s v="Байбикова Н. М."/>
    <d v="2016-11-25T00:00:00"/>
  </r>
  <r>
    <n v="118"/>
    <n v="6"/>
    <s v="Харьков"/>
    <x v="85"/>
    <n v="173"/>
    <n v="98480"/>
    <n v="17037040"/>
    <s v="C"/>
    <s v="Крапивина Любовь Владимировна"/>
    <s v="Крапивина Л. В."/>
    <d v="2013-11-10T00:00:00"/>
  </r>
  <r>
    <n v="119"/>
    <n v="3"/>
    <s v="Челябинск"/>
    <x v="89"/>
    <n v="86"/>
    <n v="99100"/>
    <n v="8522600"/>
    <s v="B"/>
    <s v="Бармина Юлия Анатольевна"/>
    <s v="Бармина Ю. А."/>
    <d v="2013-10-19T00:00:00"/>
  </r>
  <r>
    <n v="120"/>
    <n v="1"/>
    <s v="Москва"/>
    <x v="90"/>
    <n v="93"/>
    <n v="97724"/>
    <n v="9088332"/>
    <s v="B"/>
    <s v="Зубова Ирина Михайловна"/>
    <s v="Зубова И. М."/>
    <d v="2015-10-17T00:00:00"/>
  </r>
  <r>
    <n v="121"/>
    <n v="5"/>
    <s v="Омск"/>
    <x v="91"/>
    <n v="97"/>
    <n v="67223"/>
    <n v="6520631"/>
    <s v="B"/>
    <s v="Гребенева Татьяна Владимировна"/>
    <s v="Гребенева Т. В."/>
    <d v="2017-10-26T00:00:00"/>
  </r>
  <r>
    <n v="122"/>
    <n v="3"/>
    <s v="Челябинск"/>
    <x v="59"/>
    <n v="25"/>
    <n v="88694"/>
    <n v="2217350"/>
    <s v="A"/>
    <s v="Абалтусова Вера Геннадьевна"/>
    <s v="Абалтусова В. Г."/>
    <d v="2014-12-13T00:00:00"/>
  </r>
  <r>
    <n v="123"/>
    <n v="3"/>
    <s v="Челябинск"/>
    <x v="74"/>
    <n v="48"/>
    <n v="52215"/>
    <n v="2506320"/>
    <s v="A"/>
    <s v="Дружинин Андрей Владимирович"/>
    <s v="Дружинин А. В."/>
    <d v="2017-10-28T00:00:00"/>
  </r>
  <r>
    <n v="124"/>
    <n v="4"/>
    <s v="Казань"/>
    <x v="92"/>
    <n v="193"/>
    <n v="5612"/>
    <n v="1083116"/>
    <s v="A"/>
    <s v="Крапивина Любовь Владимировна"/>
    <s v="Крапивина Л. В."/>
    <d v="2013-12-13T00:00:00"/>
  </r>
  <r>
    <n v="125"/>
    <n v="7"/>
    <s v="Йошкар-Ола"/>
    <x v="93"/>
    <n v="195"/>
    <n v="62631"/>
    <n v="12213045"/>
    <s v="C"/>
    <s v="Олифер Елена Руфимовна"/>
    <s v="Олифер Е. Р."/>
    <d v="2017-12-16T00:00:00"/>
  </r>
  <r>
    <n v="126"/>
    <n v="5"/>
    <s v="Омск"/>
    <x v="94"/>
    <n v="43"/>
    <n v="91962"/>
    <n v="3954366"/>
    <s v="A"/>
    <s v="Лакеенков Дмитрий Владимирович"/>
    <s v="Лакеенков Д. В."/>
    <d v="2015-11-28T00:00:00"/>
  </r>
  <r>
    <n v="127"/>
    <n v="3"/>
    <s v="Челябинск"/>
    <x v="95"/>
    <n v="133"/>
    <n v="19861"/>
    <n v="2641513"/>
    <s v="A"/>
    <s v="Кадырова Елена Анатольевна"/>
    <s v="Кадырова Е. А."/>
    <d v="2016-12-27T00:00:00"/>
  </r>
  <r>
    <n v="128"/>
    <n v="2"/>
    <s v="Санкт-Петербург"/>
    <x v="96"/>
    <n v="177"/>
    <n v="34173"/>
    <n v="6048621"/>
    <s v="B"/>
    <s v="Меркушев Алексей Сергеевич"/>
    <s v="Меркушев А. С."/>
    <d v="2014-12-25T00:00:00"/>
  </r>
  <r>
    <n v="129"/>
    <n v="7"/>
    <s v="Йошкар-Ола"/>
    <x v="5"/>
    <n v="112"/>
    <n v="57995"/>
    <n v="6495440"/>
    <s v="B"/>
    <s v="Иванов Василий Геннадьевич"/>
    <s v="Иванов В. Г."/>
    <d v="2014-10-16T00:00:00"/>
  </r>
  <r>
    <n v="130"/>
    <n v="7"/>
    <s v="Йошкар-Ола"/>
    <x v="97"/>
    <n v="41"/>
    <n v="55643"/>
    <n v="2281363"/>
    <s v="A"/>
    <s v="Попова Антонина Алексеевна"/>
    <s v="Попова А. А."/>
    <d v="2017-12-19T00:00:00"/>
  </r>
  <r>
    <n v="131"/>
    <n v="6"/>
    <s v="Харьков"/>
    <x v="98"/>
    <n v="135"/>
    <n v="71126"/>
    <n v="9602010"/>
    <s v="B"/>
    <s v="Крапивина Любовь Владимировна"/>
    <s v="Крапивина Л. В."/>
    <d v="2016-10-22T00:00:00"/>
  </r>
  <r>
    <n v="132"/>
    <n v="7"/>
    <s v="Йошкар-Ола"/>
    <x v="99"/>
    <n v="65"/>
    <n v="63805"/>
    <n v="4147325"/>
    <s v="A"/>
    <s v="Васнин Валерий Викторович"/>
    <s v="Васнин В. В."/>
    <d v="2016-11-12T00:00:00"/>
  </r>
  <r>
    <n v="133"/>
    <n v="5"/>
    <s v="Омск"/>
    <x v="100"/>
    <n v="12"/>
    <n v="35746"/>
    <n v="428952"/>
    <s v="A"/>
    <s v="Ользатиева Людмила Геннадьевна"/>
    <s v="Ользатиева Л. Г."/>
    <d v="2015-11-22T00:00:00"/>
  </r>
  <r>
    <n v="134"/>
    <n v="1"/>
    <s v="Москва"/>
    <x v="101"/>
    <n v="159"/>
    <n v="47910"/>
    <n v="7617690"/>
    <s v="B"/>
    <s v="Крапивина Любовь Владимировна"/>
    <s v="Крапивина Л. В."/>
    <d v="2017-11-22T00:00:00"/>
  </r>
  <r>
    <n v="135"/>
    <n v="2"/>
    <s v="Санкт-Петербург"/>
    <x v="59"/>
    <n v="164"/>
    <n v="24884"/>
    <n v="4080976"/>
    <s v="A"/>
    <s v="Барсукова Фаина Александровна"/>
    <s v="Барсукова Ф. А."/>
    <d v="2014-12-13T00:00:00"/>
  </r>
  <r>
    <n v="136"/>
    <n v="5"/>
    <s v="Омск"/>
    <x v="102"/>
    <n v="150"/>
    <n v="26354"/>
    <n v="3953100"/>
    <s v="A"/>
    <s v="Гребенева Татьяна Владимировна"/>
    <s v="Гребенева Т. В."/>
    <d v="2015-10-10T00:00:00"/>
  </r>
  <r>
    <n v="137"/>
    <n v="2"/>
    <s v="Санкт-Петербург"/>
    <x v="101"/>
    <n v="101"/>
    <n v="17937"/>
    <n v="1811637"/>
    <s v="A"/>
    <s v="Пономарева Светлана Викторовна"/>
    <s v="Пономарева С. В."/>
    <d v="2017-11-22T00:00:00"/>
  </r>
  <r>
    <n v="138"/>
    <n v="2"/>
    <s v="Санкт-Петербург"/>
    <x v="52"/>
    <n v="128"/>
    <n v="19914"/>
    <n v="2548992"/>
    <s v="A"/>
    <s v="Неклюдова Ирина Ивановна"/>
    <s v="Неклюдова И. И."/>
    <d v="2015-12-26T00:00:00"/>
  </r>
  <r>
    <n v="139"/>
    <n v="2"/>
    <s v="Санкт-Петербург"/>
    <x v="103"/>
    <n v="181"/>
    <n v="3520"/>
    <n v="637120"/>
    <s v="A"/>
    <s v="Макарова Нина Яковлевна"/>
    <s v="Макарова Н. Я."/>
    <d v="2016-10-19T00:00:00"/>
  </r>
  <r>
    <n v="140"/>
    <n v="4"/>
    <s v="Казань"/>
    <x v="104"/>
    <n v="174"/>
    <n v="64093"/>
    <n v="11152182"/>
    <s v="C"/>
    <s v="Пиканов Владимир Петрович"/>
    <s v="Пиканов В. П."/>
    <d v="2013-12-24T00:00:00"/>
  </r>
  <r>
    <n v="141"/>
    <n v="5"/>
    <s v="Омск"/>
    <x v="105"/>
    <n v="38"/>
    <n v="54398"/>
    <n v="2067124"/>
    <s v="A"/>
    <s v="Олифер Елена Руфимовна"/>
    <s v="Олифер Е. Р."/>
    <d v="2015-11-16T00:00:00"/>
  </r>
  <r>
    <n v="142"/>
    <n v="6"/>
    <s v="Харьков"/>
    <x v="106"/>
    <n v="20"/>
    <n v="82002"/>
    <n v="1640040"/>
    <s v="A"/>
    <s v="Бармина Юлия Анатольевна"/>
    <s v="Бармина Ю. А."/>
    <d v="2013-10-25T00:00:00"/>
  </r>
  <r>
    <n v="143"/>
    <n v="2"/>
    <s v="Санкт-Петербург"/>
    <x v="107"/>
    <n v="136"/>
    <n v="86914"/>
    <n v="11820304"/>
    <s v="C"/>
    <s v="Паршакова Татьяна Леонтьевна"/>
    <s v="Паршакова Т. Л."/>
    <d v="2014-10-11T00:00:00"/>
  </r>
  <r>
    <n v="144"/>
    <n v="4"/>
    <s v="Казань"/>
    <x v="108"/>
    <n v="148"/>
    <n v="34871"/>
    <n v="5160908"/>
    <s v="B"/>
    <s v="Зубова Ирина Михайловна"/>
    <s v="Зубова И. М."/>
    <d v="2013-12-25T00:00:00"/>
  </r>
  <r>
    <n v="145"/>
    <n v="3"/>
    <s v="Челябинск"/>
    <x v="15"/>
    <n v="154"/>
    <n v="22356"/>
    <n v="3442824"/>
    <s v="A"/>
    <s v="Васнин Валерий Викторович"/>
    <s v="Васнин В. В."/>
    <d v="2014-11-20T00:00:00"/>
  </r>
  <r>
    <n v="146"/>
    <n v="2"/>
    <s v="Санкт-Петербург"/>
    <x v="10"/>
    <n v="14"/>
    <n v="22495"/>
    <n v="314930"/>
    <s v="A"/>
    <s v="Иванова Лидия Николаевна"/>
    <s v="Иванова Л. Н."/>
    <d v="2013-11-26T00:00:00"/>
  </r>
  <r>
    <n v="147"/>
    <n v="2"/>
    <s v="Санкт-Петербург"/>
    <x v="9"/>
    <n v="5"/>
    <n v="56001"/>
    <n v="280005"/>
    <s v="A"/>
    <s v="Павлова Надежда Ивановна"/>
    <s v="Павлова Н. И."/>
    <d v="2014-12-19T00:00:00"/>
  </r>
  <r>
    <n v="148"/>
    <n v="5"/>
    <s v="Омск"/>
    <x v="109"/>
    <n v="65"/>
    <n v="79130"/>
    <n v="5143450"/>
    <s v="B"/>
    <s v="Пономарева Светлана Викторовна"/>
    <s v="Пономарева С. В."/>
    <d v="2015-11-18T00:00:00"/>
  </r>
  <r>
    <n v="149"/>
    <n v="2"/>
    <s v="Санкт-Петербург"/>
    <x v="110"/>
    <n v="141"/>
    <n v="53728"/>
    <n v="7575648"/>
    <s v="B"/>
    <s v="Петрушкевич Ольга Васильевна"/>
    <s v="Петрушкевич О. В."/>
    <d v="2017-10-15T00:00:00"/>
  </r>
  <r>
    <n v="150"/>
    <n v="3"/>
    <s v="Челябинск"/>
    <x v="83"/>
    <n v="190"/>
    <n v="34582"/>
    <n v="6570580"/>
    <s v="B"/>
    <s v="Меркушев Алексей Сергеевич"/>
    <s v="Меркушев А. С."/>
    <d v="2014-10-20T00:00:00"/>
  </r>
  <r>
    <n v="151"/>
    <n v="5"/>
    <s v="Омск"/>
    <x v="52"/>
    <n v="188"/>
    <n v="60856"/>
    <n v="11440928"/>
    <s v="C"/>
    <s v="Байбикова Наиля Миясяровна"/>
    <s v="Байбикова Н. М."/>
    <d v="2015-12-26T00:00:00"/>
  </r>
  <r>
    <n v="152"/>
    <n v="2"/>
    <s v="Санкт-Петербург"/>
    <x v="111"/>
    <n v="109"/>
    <n v="89815"/>
    <n v="9789835"/>
    <s v="B"/>
    <s v="Зуева Елена Юрьевна"/>
    <s v="Зуева Е. Ю."/>
    <d v="2013-10-10T00:00:00"/>
  </r>
  <r>
    <n v="153"/>
    <n v="1"/>
    <s v="Москва"/>
    <x v="110"/>
    <n v="157"/>
    <n v="56720"/>
    <n v="8905040"/>
    <s v="B"/>
    <s v="Анфалова Лилия Рузилевна"/>
    <s v="Анфалова Л. Р."/>
    <d v="2017-10-15T00:00:00"/>
  </r>
  <r>
    <n v="154"/>
    <n v="1"/>
    <s v="Москва"/>
    <x v="3"/>
    <n v="53"/>
    <n v="30449"/>
    <n v="1613797"/>
    <s v="A"/>
    <s v="Зубова Ирина Михайловна"/>
    <s v="Зубова И. М."/>
    <d v="2015-10-22T00:00:00"/>
  </r>
  <r>
    <n v="155"/>
    <n v="3"/>
    <s v="Челябинск"/>
    <x v="112"/>
    <n v="36"/>
    <n v="21104"/>
    <n v="759744"/>
    <s v="A"/>
    <s v="Ильина Татьяна Николаевна"/>
    <s v="Ильина Т. Н."/>
    <d v="2013-11-15T00:00:00"/>
  </r>
  <r>
    <n v="156"/>
    <n v="1"/>
    <s v="Москва"/>
    <x v="99"/>
    <n v="150"/>
    <n v="94126"/>
    <n v="14118900"/>
    <s v="C"/>
    <s v="Васнин Валерий Викторович"/>
    <s v="Васнин В. В."/>
    <d v="2016-11-12T00:00:00"/>
  </r>
  <r>
    <n v="157"/>
    <n v="4"/>
    <s v="Казань"/>
    <x v="113"/>
    <n v="161"/>
    <n v="32320"/>
    <n v="5203520"/>
    <s v="B"/>
    <s v="Неклюдова Ирина Ивановна"/>
    <s v="Неклюдова И. И."/>
    <d v="2017-10-17T00:00:00"/>
  </r>
  <r>
    <n v="158"/>
    <n v="1"/>
    <s v="Москва"/>
    <x v="1"/>
    <n v="186"/>
    <n v="55634"/>
    <n v="10347924"/>
    <s v="C"/>
    <s v="Макарова Нина Яковлевна"/>
    <s v="Макарова Н. Я."/>
    <d v="2013-12-23T00:00:00"/>
  </r>
  <r>
    <n v="159"/>
    <n v="4"/>
    <s v="Казань"/>
    <x v="114"/>
    <n v="96"/>
    <n v="5845"/>
    <n v="561120"/>
    <s v="A"/>
    <s v="Олифер Елена Руфимовна"/>
    <s v="Олифер Е. Р."/>
    <d v="2016-11-15T00:00:00"/>
  </r>
  <r>
    <n v="160"/>
    <n v="6"/>
    <s v="Харьков"/>
    <x v="115"/>
    <n v="28"/>
    <n v="35595"/>
    <n v="996660"/>
    <s v="A"/>
    <s v="Голдобина Алевтина Владимировна"/>
    <s v="Голдобина А. В."/>
    <d v="2017-11-14T00:00:00"/>
  </r>
  <r>
    <n v="161"/>
    <n v="4"/>
    <s v="Казань"/>
    <x v="15"/>
    <n v="28"/>
    <n v="57747"/>
    <n v="1616916"/>
    <s v="A"/>
    <s v="Анфалова Лилия Рузилевна"/>
    <s v="Анфалова Л. Р."/>
    <d v="2014-11-20T00:00:00"/>
  </r>
  <r>
    <n v="162"/>
    <n v="5"/>
    <s v="Омск"/>
    <x v="29"/>
    <n v="190"/>
    <n v="86548"/>
    <n v="16444120"/>
    <s v="C"/>
    <s v="Кадырова Елена Анатольевна"/>
    <s v="Кадырова Е. А."/>
    <d v="2016-11-27T00:00:00"/>
  </r>
  <r>
    <n v="163"/>
    <n v="7"/>
    <s v="Йошкар-Ола"/>
    <x v="116"/>
    <n v="37"/>
    <n v="88851"/>
    <n v="3287487"/>
    <s v="A"/>
    <s v="Бармина Юлия Анатольевна"/>
    <s v="Бармина Ю. А."/>
    <d v="2015-11-12T00:00:00"/>
  </r>
  <r>
    <n v="164"/>
    <n v="5"/>
    <s v="Омск"/>
    <x v="72"/>
    <n v="70"/>
    <n v="31235"/>
    <n v="2186450"/>
    <s v="A"/>
    <s v="Петрушкевич Ольга Васильевна"/>
    <s v="Петрушкевич О. В."/>
    <d v="2017-11-13T00:00:00"/>
  </r>
  <r>
    <n v="165"/>
    <n v="4"/>
    <s v="Казань"/>
    <x v="67"/>
    <n v="107"/>
    <n v="35378"/>
    <n v="3785446"/>
    <s v="A"/>
    <s v="Лукашенко Александр Сергеевич"/>
    <s v="Лукашенко А. С."/>
    <d v="2013-10-12T00:00:00"/>
  </r>
  <r>
    <n v="166"/>
    <n v="5"/>
    <s v="Омск"/>
    <x v="117"/>
    <n v="82"/>
    <n v="42267"/>
    <n v="3465894"/>
    <s v="A"/>
    <s v="Патрушева Вероника Вадимовна"/>
    <s v="Патрушева В. В."/>
    <d v="2017-10-25T00:00:00"/>
  </r>
  <r>
    <n v="167"/>
    <n v="2"/>
    <s v="Санкт-Петербург"/>
    <x v="118"/>
    <n v="106"/>
    <n v="24885"/>
    <n v="2637810"/>
    <s v="A"/>
    <s v="Петрушкевич Ольга Васильевна"/>
    <s v="Петрушкевич О. В."/>
    <d v="2017-11-11T00:00:00"/>
  </r>
  <r>
    <n v="168"/>
    <n v="6"/>
    <s v="Харьков"/>
    <x v="119"/>
    <n v="153"/>
    <n v="64531"/>
    <n v="9873243"/>
    <s v="B"/>
    <s v="Коновалов Петр Иванович"/>
    <s v="Коновалов П. И."/>
    <d v="2016-12-24T00:00:00"/>
  </r>
  <r>
    <n v="169"/>
    <n v="7"/>
    <s v="Йошкар-Ола"/>
    <x v="44"/>
    <n v="31"/>
    <n v="4239"/>
    <n v="131409"/>
    <s v="A"/>
    <s v="Исцелемова Светлана Александровна"/>
    <s v="Исцелемова С. А."/>
    <d v="2016-12-20T00:00:00"/>
  </r>
  <r>
    <n v="170"/>
    <n v="6"/>
    <s v="Харьков"/>
    <x v="120"/>
    <n v="90"/>
    <n v="94350"/>
    <n v="8491500"/>
    <s v="B"/>
    <s v="Макарова Нина Яковлевна"/>
    <s v="Макарова Н. Я."/>
    <d v="2014-11-28T00:00:00"/>
  </r>
  <r>
    <n v="171"/>
    <n v="5"/>
    <s v="Омск"/>
    <x v="110"/>
    <n v="130"/>
    <n v="2386"/>
    <n v="310180"/>
    <s v="A"/>
    <s v="Иванова Лидия Николаевна"/>
    <s v="Иванова Л. Н."/>
    <d v="2017-10-15T00:00:00"/>
  </r>
  <r>
    <n v="172"/>
    <n v="4"/>
    <s v="Казань"/>
    <x v="121"/>
    <n v="32"/>
    <n v="15511"/>
    <n v="496352"/>
    <s v="A"/>
    <s v="Королев Алексей Михайлович"/>
    <s v="Королев А. М."/>
    <d v="2015-10-19T00:00:00"/>
  </r>
  <r>
    <n v="173"/>
    <n v="1"/>
    <s v="Москва"/>
    <x v="122"/>
    <n v="180"/>
    <n v="47678"/>
    <n v="8582040"/>
    <s v="B"/>
    <s v="Зуева Елена Юрьевна"/>
    <s v="Зуева Е. Ю."/>
    <d v="2015-12-22T00:00:00"/>
  </r>
  <r>
    <n v="174"/>
    <n v="7"/>
    <s v="Йошкар-Ола"/>
    <x v="123"/>
    <n v="65"/>
    <n v="15356"/>
    <n v="998140"/>
    <s v="A"/>
    <s v="Дружинин Андрей Владимирович"/>
    <s v="Дружинин А. В."/>
    <d v="2014-11-22T00:00:00"/>
  </r>
  <r>
    <n v="175"/>
    <n v="2"/>
    <s v="Санкт-Петербург"/>
    <x v="104"/>
    <n v="179"/>
    <n v="14130"/>
    <n v="2529270"/>
    <s v="A"/>
    <s v="Оносов Александр Геннадьевич"/>
    <s v="Оносов А. Г."/>
    <d v="2013-12-24T00:00:00"/>
  </r>
  <r>
    <n v="176"/>
    <n v="6"/>
    <s v="Харьков"/>
    <x v="124"/>
    <n v="21"/>
    <n v="46111"/>
    <n v="968331"/>
    <s v="A"/>
    <s v="Олифер Елена Руфимовна"/>
    <s v="Олифер Е. Р."/>
    <d v="2015-12-14T00:00:00"/>
  </r>
  <r>
    <n v="177"/>
    <n v="2"/>
    <s v="Санкт-Петербург"/>
    <x v="49"/>
    <n v="139"/>
    <n v="52370"/>
    <n v="7279430"/>
    <s v="B"/>
    <s v="Подчуфарова Жанна Анатольевна"/>
    <s v="Подчуфарова Ж. А."/>
    <d v="2014-11-12T00:00:00"/>
  </r>
  <r>
    <n v="178"/>
    <n v="2"/>
    <s v="Санкт-Петербург"/>
    <x v="125"/>
    <n v="121"/>
    <n v="64322"/>
    <n v="7782962"/>
    <s v="B"/>
    <s v="Патрушева Вероника Вадимовна"/>
    <s v="Патрушева В. В."/>
    <d v="2017-11-25T00:00:00"/>
  </r>
  <r>
    <n v="179"/>
    <n v="2"/>
    <s v="Санкт-Петербург"/>
    <x v="126"/>
    <n v="9"/>
    <n v="80044"/>
    <n v="720396"/>
    <s v="A"/>
    <s v="Власова Лариса Анатольевна"/>
    <s v="Власова Л. А."/>
    <d v="2016-11-13T00:00:00"/>
  </r>
  <r>
    <n v="180"/>
    <n v="6"/>
    <s v="Харьков"/>
    <x v="127"/>
    <n v="157"/>
    <n v="4190"/>
    <n v="657830"/>
    <s v="A"/>
    <s v="Анфалова Лилия Рузилевна"/>
    <s v="Анфалова Л. Р."/>
    <d v="2015-12-12T00:00:00"/>
  </r>
  <r>
    <n v="181"/>
    <n v="5"/>
    <s v="Омск"/>
    <x v="128"/>
    <n v="79"/>
    <n v="15943"/>
    <n v="1259497"/>
    <s v="A"/>
    <s v="Меркушев Алексей Сергеевич"/>
    <s v="Меркушев А. С."/>
    <d v="2017-10-20T00:00:00"/>
  </r>
  <r>
    <n v="182"/>
    <n v="1"/>
    <s v="Москва"/>
    <x v="50"/>
    <n v="92"/>
    <n v="5949"/>
    <n v="547308"/>
    <s v="A"/>
    <s v="Голдобина Алевтина Владимировна"/>
    <s v="Голдобина А. В."/>
    <d v="2017-10-21T00:00:00"/>
  </r>
  <r>
    <n v="183"/>
    <n v="2"/>
    <s v="Санкт-Петербург"/>
    <x v="129"/>
    <n v="98"/>
    <n v="77268"/>
    <n v="7572264"/>
    <s v="B"/>
    <s v="Каячева Маргарита Владиславовна"/>
    <s v="Каячева М. В."/>
    <d v="2015-12-16T00:00:00"/>
  </r>
  <r>
    <n v="184"/>
    <n v="5"/>
    <s v="Омск"/>
    <x v="112"/>
    <n v="90"/>
    <n v="90797"/>
    <n v="8171730"/>
    <s v="B"/>
    <s v="Пермякова Ольга Анатольевна"/>
    <s v="Пермякова О. А."/>
    <d v="2013-11-15T00:00:00"/>
  </r>
  <r>
    <n v="185"/>
    <n v="5"/>
    <s v="Омск"/>
    <x v="85"/>
    <n v="129"/>
    <n v="20430"/>
    <n v="2635470"/>
    <s v="A"/>
    <s v="Голдобина Алевтина Владимировна"/>
    <s v="Голдобина А. В."/>
    <d v="2013-11-10T00:00:00"/>
  </r>
  <r>
    <n v="186"/>
    <n v="4"/>
    <s v="Казань"/>
    <x v="130"/>
    <n v="66"/>
    <n v="74386"/>
    <n v="4909476"/>
    <s v="A"/>
    <s v="Неклюдова Ирина Ивановна"/>
    <s v="Неклюдова И. И."/>
    <d v="2016-11-19T00:00:00"/>
  </r>
  <r>
    <n v="187"/>
    <n v="2"/>
    <s v="Санкт-Петербург"/>
    <x v="79"/>
    <n v="104"/>
    <n v="82424"/>
    <n v="8572096"/>
    <s v="B"/>
    <s v="Зуева Елена Юрьевна"/>
    <s v="Зуева Е. Ю."/>
    <d v="2013-12-21T00:00:00"/>
  </r>
  <r>
    <n v="188"/>
    <n v="7"/>
    <s v="Йошкар-Ола"/>
    <x v="39"/>
    <n v="85"/>
    <n v="75416"/>
    <n v="6410360"/>
    <s v="B"/>
    <s v="Меркушев Алексей Сергеевич"/>
    <s v="Меркушев А. С."/>
    <d v="2015-10-14T00:00:00"/>
  </r>
  <r>
    <n v="189"/>
    <n v="1"/>
    <s v="Москва"/>
    <x v="13"/>
    <n v="198"/>
    <n v="89116"/>
    <n v="17644968"/>
    <s v="C"/>
    <s v="Подчуфарова Жанна Анатольевна"/>
    <s v="Подчуфарова Ж. А."/>
    <d v="2015-10-26T00:00:00"/>
  </r>
  <r>
    <n v="190"/>
    <n v="4"/>
    <s v="Казань"/>
    <x v="131"/>
    <n v="46"/>
    <n v="5527"/>
    <n v="254242"/>
    <s v="A"/>
    <s v="Каскеева Екатерина Алексеевна"/>
    <s v="Каскеева Е. А."/>
    <d v="2014-10-21T00:00:00"/>
  </r>
  <r>
    <n v="191"/>
    <n v="2"/>
    <s v="Санкт-Петербург"/>
    <x v="132"/>
    <n v="47"/>
    <n v="89028"/>
    <n v="4184316"/>
    <s v="A"/>
    <s v="Пермякова Ольга Анатольевна"/>
    <s v="Пермякова О. А."/>
    <d v="2016-10-20T00:00:00"/>
  </r>
  <r>
    <n v="192"/>
    <n v="7"/>
    <s v="Йошкар-Ола"/>
    <x v="21"/>
    <n v="161"/>
    <n v="8482"/>
    <n v="1365602"/>
    <s v="A"/>
    <s v="Демидова Елена Борисовна"/>
    <s v="Демидова Е. Б."/>
    <d v="2013-12-10T00:00:00"/>
  </r>
  <r>
    <n v="193"/>
    <n v="3"/>
    <s v="Челябинск"/>
    <x v="65"/>
    <n v="29"/>
    <n v="16650"/>
    <n v="482850"/>
    <s v="A"/>
    <s v="Лукашенко Александр Сергеевич"/>
    <s v="Лукашенко А. С."/>
    <d v="2014-12-16T00:00:00"/>
  </r>
  <r>
    <n v="194"/>
    <n v="2"/>
    <s v="Санкт-Петербург"/>
    <x v="17"/>
    <n v="50"/>
    <n v="28934"/>
    <n v="1446700"/>
    <s v="A"/>
    <s v="Пономарева Светлана Викторовна"/>
    <s v="Пономарева С. В."/>
    <d v="2017-12-13T00:00:00"/>
  </r>
  <r>
    <n v="195"/>
    <n v="4"/>
    <s v="Казань"/>
    <x v="87"/>
    <n v="39"/>
    <n v="44740"/>
    <n v="1744860"/>
    <s v="A"/>
    <s v="Попова Антонина Алексеевна"/>
    <s v="Попова А. А."/>
    <d v="2014-11-27T00:00:00"/>
  </r>
  <r>
    <n v="196"/>
    <n v="3"/>
    <s v="Челябинск"/>
    <x v="133"/>
    <n v="93"/>
    <n v="27179"/>
    <n v="2527647"/>
    <s v="A"/>
    <s v="Минина Любовь Анатольевна"/>
    <s v="Минина Л. А."/>
    <d v="2013-11-18T00:00:00"/>
  </r>
  <r>
    <n v="197"/>
    <n v="3"/>
    <s v="Челябинск"/>
    <x v="22"/>
    <n v="151"/>
    <n v="80825"/>
    <n v="12204575"/>
    <s v="C"/>
    <s v="Давыдова Татьяна Константиновна"/>
    <s v="Давыдова Т. К."/>
    <d v="2016-10-10T00:00:00"/>
  </r>
  <r>
    <n v="198"/>
    <n v="6"/>
    <s v="Харьков"/>
    <x v="18"/>
    <n v="42"/>
    <n v="57470"/>
    <n v="2413740"/>
    <s v="A"/>
    <s v="Лакеенков Дмитрий Владимирович"/>
    <s v="Лакеенков Д. В."/>
    <d v="2014-11-21T00:00:00"/>
  </r>
  <r>
    <n v="199"/>
    <n v="1"/>
    <s v="Москва"/>
    <x v="95"/>
    <n v="74"/>
    <n v="23249"/>
    <n v="1720426"/>
    <s v="A"/>
    <s v="Ользатиева Людмила Геннадьевна"/>
    <s v="Ользатиева Л. Г."/>
    <d v="2016-12-27T00:00:00"/>
  </r>
  <r>
    <n v="200"/>
    <n v="7"/>
    <s v="Йошкар-Ола"/>
    <x v="92"/>
    <n v="2"/>
    <n v="10849"/>
    <n v="21698"/>
    <s v="A"/>
    <s v="Голдобина Алевтина Владимировна"/>
    <s v="Голдобина А. В."/>
    <d v="2013-12-13T00:00:00"/>
  </r>
  <r>
    <n v="201"/>
    <n v="7"/>
    <s v="Йошкар-Ола"/>
    <x v="125"/>
    <n v="113"/>
    <n v="32660"/>
    <n v="3690580"/>
    <s v="A"/>
    <s v="Гордеева Александра Петровна"/>
    <s v="Гордеева А. П."/>
    <d v="2017-11-25T00:00:00"/>
  </r>
  <r>
    <n v="202"/>
    <n v="6"/>
    <s v="Харьков"/>
    <x v="134"/>
    <n v="138"/>
    <n v="33053"/>
    <n v="4561314"/>
    <s v="A"/>
    <s v="Косикова Елена Александровна"/>
    <s v="Косикова Е. А."/>
    <d v="2016-12-23T00:00:00"/>
  </r>
  <r>
    <n v="203"/>
    <n v="4"/>
    <s v="Казань"/>
    <x v="131"/>
    <n v="195"/>
    <n v="74244"/>
    <n v="14477580"/>
    <s v="C"/>
    <s v="Зубова Ирина Михайловна"/>
    <s v="Зубова И. М."/>
    <d v="2014-10-21T00:00:00"/>
  </r>
  <r>
    <n v="204"/>
    <n v="4"/>
    <s v="Казань"/>
    <x v="135"/>
    <n v="124"/>
    <n v="19466"/>
    <n v="2413784"/>
    <s v="A"/>
    <s v="Оносов Александр Геннадьевич"/>
    <s v="Оносов А. Г."/>
    <d v="2017-12-28T00:00:00"/>
  </r>
  <r>
    <n v="205"/>
    <n v="5"/>
    <s v="Омск"/>
    <x v="136"/>
    <n v="37"/>
    <n v="15951"/>
    <n v="590187"/>
    <s v="A"/>
    <s v="Пермякова Ольга Анатольевна"/>
    <s v="Пермякова О. А."/>
    <d v="2016-11-26T00:00:00"/>
  </r>
  <r>
    <n v="206"/>
    <n v="4"/>
    <s v="Казань"/>
    <x v="35"/>
    <n v="22"/>
    <n v="23679"/>
    <n v="520938"/>
    <s v="A"/>
    <s v="Каячева Маргарита Владиславовна"/>
    <s v="Каячева М. В."/>
    <d v="2013-10-18T00:00:00"/>
  </r>
  <r>
    <n v="207"/>
    <n v="4"/>
    <s v="Казань"/>
    <x v="137"/>
    <n v="174"/>
    <n v="80541"/>
    <n v="14014134"/>
    <s v="C"/>
    <s v="Гребенева Татьяна Владимировна"/>
    <s v="Гребенева Т. В."/>
    <d v="2015-12-20T00:00:00"/>
  </r>
  <r>
    <n v="208"/>
    <n v="4"/>
    <s v="Казань"/>
    <x v="138"/>
    <n v="182"/>
    <n v="20887"/>
    <n v="3801434"/>
    <s v="A"/>
    <s v="Косикова Елена Александровна"/>
    <s v="Косикова Е. А."/>
    <d v="2013-10-23T00:00:00"/>
  </r>
  <r>
    <n v="209"/>
    <n v="1"/>
    <s v="Москва"/>
    <x v="139"/>
    <n v="100"/>
    <n v="5728"/>
    <n v="572800"/>
    <s v="A"/>
    <s v="Паршакова Татьяна Леонтьевна"/>
    <s v="Паршакова Т. Л."/>
    <d v="2014-11-14T00:00:00"/>
  </r>
  <r>
    <n v="210"/>
    <n v="5"/>
    <s v="Омск"/>
    <x v="140"/>
    <n v="46"/>
    <n v="3450"/>
    <n v="158700"/>
    <s v="A"/>
    <s v="Барсукова Фаина Александровна"/>
    <s v="Барсукова Ф. А."/>
    <d v="2015-12-19T00:00:00"/>
  </r>
  <r>
    <n v="211"/>
    <n v="4"/>
    <s v="Казань"/>
    <x v="13"/>
    <n v="110"/>
    <n v="59025"/>
    <n v="6492750"/>
    <s v="B"/>
    <s v="Павлова Надежда Ивановна"/>
    <s v="Павлова Н. И."/>
    <d v="2015-10-26T00:00:00"/>
  </r>
  <r>
    <n v="212"/>
    <n v="3"/>
    <s v="Челябинск"/>
    <x v="126"/>
    <n v="153"/>
    <n v="14768"/>
    <n v="2259504"/>
    <s v="A"/>
    <s v="Гребенева Татьяна Владимировна"/>
    <s v="Гребенева Т. В."/>
    <d v="2016-11-13T00:00:00"/>
  </r>
  <r>
    <n v="213"/>
    <n v="2"/>
    <s v="Санкт-Петербург"/>
    <x v="141"/>
    <n v="146"/>
    <n v="76654"/>
    <n v="11191484"/>
    <s v="C"/>
    <s v="Анфалова Лилия Рузилевна"/>
    <s v="Анфалова Л. Р."/>
    <d v="2014-11-19T00:00:00"/>
  </r>
  <r>
    <n v="214"/>
    <n v="5"/>
    <s v="Омск"/>
    <x v="18"/>
    <n v="173"/>
    <n v="33885"/>
    <n v="5862105"/>
    <s v="B"/>
    <s v="Анфалова Лилия Рузилевна"/>
    <s v="Анфалова Л. Р."/>
    <d v="2014-11-21T00:00:00"/>
  </r>
  <r>
    <n v="215"/>
    <n v="2"/>
    <s v="Санкт-Петербург"/>
    <x v="142"/>
    <n v="104"/>
    <n v="79353"/>
    <n v="8252712"/>
    <s v="B"/>
    <s v="Лоскутова Маргарита Валентиновна"/>
    <s v="Лоскутова М. В."/>
    <d v="2013-11-16T00:00:00"/>
  </r>
  <r>
    <n v="216"/>
    <n v="6"/>
    <s v="Харьков"/>
    <x v="57"/>
    <n v="10"/>
    <n v="73885"/>
    <n v="738850"/>
    <s v="A"/>
    <s v="Крапивина Любовь Владимировна"/>
    <s v="Крапивина Л. В."/>
    <d v="2017-12-12T00:00:00"/>
  </r>
  <r>
    <n v="217"/>
    <n v="3"/>
    <s v="Челябинск"/>
    <x v="94"/>
    <n v="36"/>
    <n v="92683"/>
    <n v="3336588"/>
    <s v="A"/>
    <s v="Каячева Маргарита Владиславовна"/>
    <s v="Каячева М. В."/>
    <d v="2015-11-28T00:00:00"/>
  </r>
  <r>
    <n v="218"/>
    <n v="7"/>
    <s v="Йошкар-Ола"/>
    <x v="105"/>
    <n v="43"/>
    <n v="20291"/>
    <n v="872513"/>
    <s v="A"/>
    <s v="Байбикова Наиля Миясяровна"/>
    <s v="Байбикова Н. М."/>
    <d v="2015-11-16T00:00:00"/>
  </r>
  <r>
    <n v="219"/>
    <n v="2"/>
    <s v="Санкт-Петербург"/>
    <x v="143"/>
    <n v="66"/>
    <n v="36089"/>
    <n v="2381874"/>
    <s v="A"/>
    <s v="Лыхина Тамара Алексеевна"/>
    <s v="Лыхина Т. А."/>
    <d v="2013-11-11T00:00:00"/>
  </r>
  <r>
    <n v="220"/>
    <n v="1"/>
    <s v="Москва"/>
    <x v="12"/>
    <n v="116"/>
    <n v="76176"/>
    <n v="8836416"/>
    <s v="B"/>
    <s v="Косикова Елена Александровна"/>
    <s v="Косикова Е. А."/>
    <d v="2017-10-10T00:00:00"/>
  </r>
  <r>
    <n v="221"/>
    <n v="2"/>
    <s v="Санкт-Петербург"/>
    <x v="81"/>
    <n v="39"/>
    <n v="71444"/>
    <n v="2786316"/>
    <s v="A"/>
    <s v="Васнин Валерий Викторович"/>
    <s v="Васнин В. В."/>
    <d v="2014-10-15T00:00:00"/>
  </r>
  <r>
    <n v="222"/>
    <n v="4"/>
    <s v="Казань"/>
    <x v="144"/>
    <n v="60"/>
    <n v="74283"/>
    <n v="4456980"/>
    <s v="A"/>
    <s v="Зуева Елена Юрьевна"/>
    <s v="Зуева Е. Ю."/>
    <d v="2017-12-25T00:00:00"/>
  </r>
  <r>
    <n v="223"/>
    <n v="5"/>
    <s v="Омск"/>
    <x v="110"/>
    <n v="106"/>
    <n v="92007"/>
    <n v="9752742"/>
    <s v="B"/>
    <s v="Васнин Валерий Викторович"/>
    <s v="Васнин В. В."/>
    <d v="2017-10-15T00:00:00"/>
  </r>
  <r>
    <n v="224"/>
    <n v="2"/>
    <s v="Санкт-Петербург"/>
    <x v="145"/>
    <n v="115"/>
    <n v="78373"/>
    <n v="9012895"/>
    <s v="B"/>
    <s v="Крапивина Любовь Владимировна"/>
    <s v="Крапивина Л. В."/>
    <d v="2017-12-17T00:00:00"/>
  </r>
  <r>
    <n v="225"/>
    <n v="6"/>
    <s v="Харьков"/>
    <x v="137"/>
    <n v="62"/>
    <n v="26001"/>
    <n v="1612062"/>
    <s v="A"/>
    <s v="Ользатиева Людмила Геннадьевна"/>
    <s v="Ользатиева Л. Г."/>
    <d v="2015-12-20T00:00:00"/>
  </r>
  <r>
    <n v="226"/>
    <n v="2"/>
    <s v="Санкт-Петербург"/>
    <x v="123"/>
    <n v="127"/>
    <n v="7419"/>
    <n v="942213"/>
    <s v="A"/>
    <s v="Петрушкевич Ольга Васильевна"/>
    <s v="Петрушкевич О. В."/>
    <d v="2014-11-22T00:00:00"/>
  </r>
  <r>
    <n v="227"/>
    <n v="2"/>
    <s v="Санкт-Петербург"/>
    <x v="19"/>
    <n v="58"/>
    <n v="79908"/>
    <n v="4634664"/>
    <s v="A"/>
    <s v="Мамаева Ольга Юрьевна"/>
    <s v="Мамаева О. Ю."/>
    <d v="2017-10-19T00:00:00"/>
  </r>
  <r>
    <n v="228"/>
    <n v="1"/>
    <s v="Москва"/>
    <x v="146"/>
    <n v="11"/>
    <n v="82842"/>
    <n v="911262"/>
    <s v="A"/>
    <s v="Голдобина Алевтина Владимировна"/>
    <s v="Голдобина А. В."/>
    <d v="2013-10-15T00:00:00"/>
  </r>
  <r>
    <n v="229"/>
    <n v="5"/>
    <s v="Омск"/>
    <x v="147"/>
    <n v="115"/>
    <n v="13496"/>
    <n v="1552040"/>
    <s v="A"/>
    <s v="Каячева Маргарита Владиславовна"/>
    <s v="Каячева М. В."/>
    <d v="2015-10-28T00:00:00"/>
  </r>
  <r>
    <n v="230"/>
    <n v="1"/>
    <s v="Москва"/>
    <x v="148"/>
    <n v="171"/>
    <n v="19711"/>
    <n v="3370581"/>
    <s v="A"/>
    <s v="Мамаева Ольга Юрьевна"/>
    <s v="Мамаева О. Ю."/>
    <d v="2016-10-11T00:00:00"/>
  </r>
  <r>
    <n v="231"/>
    <n v="3"/>
    <s v="Челябинск"/>
    <x v="116"/>
    <n v="190"/>
    <n v="35985"/>
    <n v="6837150"/>
    <s v="B"/>
    <s v="Дружинин Андрей Владимирович"/>
    <s v="Дружинин А. В."/>
    <d v="2015-11-12T00:00:00"/>
  </r>
  <r>
    <n v="232"/>
    <n v="1"/>
    <s v="Москва"/>
    <x v="59"/>
    <n v="34"/>
    <n v="17608"/>
    <n v="598672"/>
    <s v="A"/>
    <s v="Иванов Василий Геннадьевич"/>
    <s v="Иванов В. Г."/>
    <d v="2014-12-13T00:00:00"/>
  </r>
  <r>
    <n v="233"/>
    <n v="3"/>
    <s v="Челябинск"/>
    <x v="78"/>
    <n v="103"/>
    <n v="83230"/>
    <n v="8572690"/>
    <s v="B"/>
    <s v="Павлова Надежда Ивановна"/>
    <s v="Павлова Н. И."/>
    <d v="2016-12-14T00:00:00"/>
  </r>
  <r>
    <n v="234"/>
    <n v="3"/>
    <s v="Челябинск"/>
    <x v="36"/>
    <n v="116"/>
    <n v="74279"/>
    <n v="8616364"/>
    <s v="B"/>
    <s v="Ользатиева Людмила Геннадьевна"/>
    <s v="Ользатиева Л. Г."/>
    <d v="2015-10-12T00:00:00"/>
  </r>
  <r>
    <n v="235"/>
    <n v="1"/>
    <s v="Москва"/>
    <x v="14"/>
    <n v="148"/>
    <n v="40164"/>
    <n v="5944272"/>
    <s v="B"/>
    <s v="Байбикова Наиля Миясяровна"/>
    <s v="Байбикова Н. М."/>
    <d v="2013-12-11T00:00:00"/>
  </r>
  <r>
    <n v="236"/>
    <n v="3"/>
    <s v="Челябинск"/>
    <x v="91"/>
    <n v="182"/>
    <n v="27206"/>
    <n v="4951492"/>
    <s v="A"/>
    <s v="Попова Антонина Алексеевна"/>
    <s v="Попова А. А."/>
    <d v="2017-10-26T00:00:00"/>
  </r>
  <r>
    <n v="237"/>
    <n v="3"/>
    <s v="Челябинск"/>
    <x v="149"/>
    <n v="27"/>
    <n v="59254"/>
    <n v="1599858"/>
    <s v="A"/>
    <s v="Анфалова Лилия Рузилевна"/>
    <s v="Анфалова Л. Р."/>
    <d v="2016-10-13T00:00:00"/>
  </r>
  <r>
    <n v="238"/>
    <n v="6"/>
    <s v="Харьков"/>
    <x v="7"/>
    <n v="101"/>
    <n v="69715"/>
    <n v="7041215"/>
    <s v="B"/>
    <s v="Ильина Татьяна Николаевна"/>
    <s v="Ильина Т. Н."/>
    <d v="2013-12-20T00:00:00"/>
  </r>
  <r>
    <n v="239"/>
    <n v="2"/>
    <s v="Санкт-Петербург"/>
    <x v="150"/>
    <n v="143"/>
    <n v="9642"/>
    <n v="1378806"/>
    <s v="A"/>
    <s v="Дружинин Андрей Владимирович"/>
    <s v="Дружинин А. В."/>
    <d v="2014-10-26T00:00:00"/>
  </r>
  <r>
    <n v="240"/>
    <n v="1"/>
    <s v="Москва"/>
    <x v="151"/>
    <n v="195"/>
    <n v="41723"/>
    <n v="8135985"/>
    <s v="B"/>
    <s v="Попова Антонина Алексеевна"/>
    <s v="Попова А. А."/>
    <d v="2015-10-13T00:00:00"/>
  </r>
  <r>
    <n v="241"/>
    <n v="2"/>
    <s v="Санкт-Петербург"/>
    <x v="152"/>
    <n v="125"/>
    <n v="34085"/>
    <n v="4260625"/>
    <s v="A"/>
    <s v="Павлова Надежда Ивановна"/>
    <s v="Павлова Н. И."/>
    <d v="2013-12-15T00:00:00"/>
  </r>
  <r>
    <n v="242"/>
    <n v="1"/>
    <s v="Москва"/>
    <x v="103"/>
    <n v="38"/>
    <n v="78356"/>
    <n v="2977528"/>
    <s v="A"/>
    <s v="Зубова Ирина Михайловна"/>
    <s v="Зубова И. М."/>
    <d v="2016-10-19T00:00:00"/>
  </r>
  <r>
    <n v="243"/>
    <n v="4"/>
    <s v="Казань"/>
    <x v="153"/>
    <n v="54"/>
    <n v="79030"/>
    <n v="4267620"/>
    <s v="A"/>
    <s v="Кадырова Елена Анатольевна"/>
    <s v="Кадырова Е. А."/>
    <d v="2017-10-13T00:00:00"/>
  </r>
  <r>
    <n v="244"/>
    <n v="6"/>
    <s v="Харьков"/>
    <x v="6"/>
    <n v="180"/>
    <n v="88096"/>
    <n v="15857280"/>
    <s v="C"/>
    <s v="Минина Татьяна Викторовна"/>
    <s v="Минина Т. В."/>
    <d v="2016-10-15T00:00:00"/>
  </r>
  <r>
    <n v="245"/>
    <n v="4"/>
    <s v="Казань"/>
    <x v="154"/>
    <n v="79"/>
    <n v="20097"/>
    <n v="1587663"/>
    <s v="A"/>
    <s v="Васнин Валерий Викторович"/>
    <s v="Васнин В. В."/>
    <d v="2015-10-23T00:00:00"/>
  </r>
  <r>
    <n v="246"/>
    <n v="1"/>
    <s v="Москва"/>
    <x v="155"/>
    <n v="144"/>
    <n v="38434"/>
    <n v="5534496"/>
    <s v="B"/>
    <s v="Клепизонова Валентина Александровна"/>
    <s v="Клепизонова В. А."/>
    <d v="2017-12-21T00:00:00"/>
  </r>
  <r>
    <n v="247"/>
    <n v="7"/>
    <s v="Йошкар-Ола"/>
    <x v="156"/>
    <n v="71"/>
    <n v="92796"/>
    <n v="6588516"/>
    <s v="B"/>
    <s v="Пиканов Владимир Петрович"/>
    <s v="Пиканов В. П."/>
    <d v="2013-10-26T00:00:00"/>
  </r>
  <r>
    <n v="248"/>
    <n v="3"/>
    <s v="Челябинск"/>
    <x v="43"/>
    <n v="106"/>
    <n v="59244"/>
    <n v="6279864"/>
    <s v="B"/>
    <s v="Неклюдова Ирина Ивановна"/>
    <s v="Неклюдова И. И."/>
    <d v="2013-11-24T00:00:00"/>
  </r>
  <r>
    <n v="249"/>
    <n v="5"/>
    <s v="Омск"/>
    <x v="157"/>
    <n v="183"/>
    <n v="36204"/>
    <n v="6625332"/>
    <s v="B"/>
    <s v="Паршакова Татьяна Леонтьевна"/>
    <s v="Паршакова Т. Л."/>
    <d v="2014-10-27T00:00:00"/>
  </r>
  <r>
    <n v="250"/>
    <n v="7"/>
    <s v="Йошкар-Ола"/>
    <x v="35"/>
    <n v="143"/>
    <n v="57362"/>
    <n v="8202766"/>
    <s v="B"/>
    <s v="Патрушева Вероника Вадимовна"/>
    <s v="Патрушева В. В."/>
    <d v="2013-10-18T00:00:00"/>
  </r>
  <r>
    <n v="251"/>
    <n v="4"/>
    <s v="Казань"/>
    <x v="158"/>
    <n v="161"/>
    <n v="91828"/>
    <n v="14784308"/>
    <s v="C"/>
    <s v="Клепизонова Валентина Александровна"/>
    <s v="Клепизонова В. А."/>
    <d v="2013-12-26T00:00:00"/>
  </r>
  <r>
    <n v="252"/>
    <n v="7"/>
    <s v="Йошкар-Ола"/>
    <x v="159"/>
    <n v="21"/>
    <n v="68414"/>
    <n v="1436694"/>
    <s v="A"/>
    <s v="Барсукова Фаина Александровна"/>
    <s v="Барсукова Ф. А."/>
    <d v="2016-12-21T00:00:00"/>
  </r>
  <r>
    <n v="253"/>
    <n v="6"/>
    <s v="Харьков"/>
    <x v="35"/>
    <n v="153"/>
    <n v="12942"/>
    <n v="1980126"/>
    <s v="A"/>
    <s v="Иванов Василий Геннадьевич"/>
    <s v="Иванов В. Г."/>
    <d v="2013-10-18T00:00:00"/>
  </r>
  <r>
    <n v="254"/>
    <n v="5"/>
    <s v="Омск"/>
    <x v="33"/>
    <n v="18"/>
    <n v="90221"/>
    <n v="1623978"/>
    <s v="A"/>
    <s v="Зубова Ирина Михайловна"/>
    <s v="Зубова И. М."/>
    <d v="2016-12-12T00:00:00"/>
  </r>
  <r>
    <n v="255"/>
    <n v="3"/>
    <s v="Челябинск"/>
    <x v="160"/>
    <n v="181"/>
    <n v="18180"/>
    <n v="3290580"/>
    <s v="A"/>
    <s v="Каскеева Екатерина Алексеевна"/>
    <s v="Каскеева Е. А."/>
    <d v="2015-10-18T00:00:00"/>
  </r>
  <r>
    <n v="256"/>
    <n v="1"/>
    <s v="Москва"/>
    <x v="161"/>
    <n v="36"/>
    <n v="51338"/>
    <n v="1848168"/>
    <s v="A"/>
    <s v="Минина Татьяна Викторовна"/>
    <s v="Минина Т. В."/>
    <d v="2015-12-11T00:00:00"/>
  </r>
  <r>
    <n v="257"/>
    <n v="2"/>
    <s v="Санкт-Петербург"/>
    <x v="162"/>
    <n v="161"/>
    <n v="12008"/>
    <n v="1933288"/>
    <s v="A"/>
    <s v="Зуева Елена Юрьевна"/>
    <s v="Зуева Е. Ю."/>
    <d v="2016-11-23T00:00:00"/>
  </r>
  <r>
    <n v="258"/>
    <n v="4"/>
    <s v="Казань"/>
    <x v="163"/>
    <n v="27"/>
    <n v="3629"/>
    <n v="97983"/>
    <s v="A"/>
    <s v="Крапивина Любовь Владимировна"/>
    <s v="Крапивина Л. В."/>
    <d v="2016-10-14T00:00:00"/>
  </r>
  <r>
    <n v="259"/>
    <n v="6"/>
    <s v="Харьков"/>
    <x v="47"/>
    <n v="82"/>
    <n v="22663"/>
    <n v="1858366"/>
    <s v="A"/>
    <s v="Анфалова Лилия Рузилевна"/>
    <s v="Анфалова Л. Р."/>
    <d v="2015-11-14T00:00:00"/>
  </r>
  <r>
    <n v="260"/>
    <n v="5"/>
    <s v="Омск"/>
    <x v="164"/>
    <n v="83"/>
    <n v="76513"/>
    <n v="6350579"/>
    <s v="B"/>
    <s v="Пономарева Светлана Викторовна"/>
    <s v="Пономарева С. В."/>
    <d v="2016-12-19T00:00:00"/>
  </r>
  <r>
    <n v="261"/>
    <n v="2"/>
    <s v="Санкт-Петербург"/>
    <x v="61"/>
    <n v="27"/>
    <n v="94098"/>
    <n v="2540646"/>
    <s v="A"/>
    <s v="Ильина Татьяна Николаевна"/>
    <s v="Ильина Т. Н."/>
    <d v="2014-11-13T00:00:00"/>
  </r>
  <r>
    <n v="262"/>
    <n v="1"/>
    <s v="Москва"/>
    <x v="165"/>
    <n v="80"/>
    <n v="3939"/>
    <n v="315120"/>
    <s v="A"/>
    <s v="Мамаева Ольга Юрьевна"/>
    <s v="Мамаева О. Ю."/>
    <d v="2015-10-21T00:00:00"/>
  </r>
  <r>
    <n v="263"/>
    <n v="7"/>
    <s v="Йошкар-Ола"/>
    <x v="70"/>
    <n v="197"/>
    <n v="64903"/>
    <n v="12785891"/>
    <s v="C"/>
    <s v="Лоскутова Маргарита Валентиновна"/>
    <s v="Лоскутова М. В."/>
    <d v="2013-11-20T00:00:00"/>
  </r>
  <r>
    <n v="264"/>
    <n v="7"/>
    <s v="Йошкар-Ола"/>
    <x v="166"/>
    <n v="92"/>
    <n v="85510"/>
    <n v="7866920"/>
    <s v="B"/>
    <s v="Крапивина Любовь Владимировна"/>
    <s v="Крапивина Л. В."/>
    <d v="2014-12-26T00:00:00"/>
  </r>
  <r>
    <n v="265"/>
    <n v="6"/>
    <s v="Харьков"/>
    <x v="12"/>
    <n v="120"/>
    <n v="33387"/>
    <n v="4006440"/>
    <s v="A"/>
    <s v="Косикова Елена Александровна"/>
    <s v="Косикова Е. А."/>
    <d v="2017-10-10T00:00:00"/>
  </r>
  <r>
    <n v="266"/>
    <n v="7"/>
    <s v="Йошкар-Ола"/>
    <x v="167"/>
    <n v="96"/>
    <n v="61430"/>
    <n v="5897280"/>
    <s v="B"/>
    <s v="Пермякова Ольга Анатольевна"/>
    <s v="Пермякова О. А."/>
    <d v="2016-10-26T00:00:00"/>
  </r>
  <r>
    <n v="267"/>
    <n v="4"/>
    <s v="Казань"/>
    <x v="168"/>
    <n v="13"/>
    <n v="32974"/>
    <n v="428662"/>
    <s v="A"/>
    <s v="Барсукова Фаина Александровна"/>
    <s v="Барсукова Ф. А."/>
    <d v="2017-12-27T00:00:00"/>
  </r>
  <r>
    <n v="268"/>
    <n v="4"/>
    <s v="Казань"/>
    <x v="169"/>
    <n v="57"/>
    <n v="13944"/>
    <n v="794808"/>
    <s v="A"/>
    <s v="Попова Антонина Алексеевна"/>
    <s v="Попова А. А."/>
    <d v="2014-10-22T00:00:00"/>
  </r>
  <r>
    <n v="269"/>
    <n v="2"/>
    <s v="Санкт-Петербург"/>
    <x v="170"/>
    <n v="113"/>
    <n v="34992"/>
    <n v="3954096"/>
    <s v="A"/>
    <s v="Пономарева Светлана Викторовна"/>
    <s v="Пономарева С. В."/>
    <d v="2014-12-17T00:00:00"/>
  </r>
  <r>
    <n v="270"/>
    <n v="1"/>
    <s v="Москва"/>
    <x v="106"/>
    <n v="71"/>
    <n v="19525"/>
    <n v="1386275"/>
    <s v="A"/>
    <s v="Павлова Надежда Ивановна"/>
    <s v="Павлова Н. И."/>
    <d v="2013-10-25T00:00:00"/>
  </r>
  <r>
    <n v="271"/>
    <n v="6"/>
    <s v="Харьков"/>
    <x v="90"/>
    <n v="120"/>
    <n v="48261"/>
    <n v="5791320"/>
    <s v="B"/>
    <s v="Паршакова Татьяна Леонтьевна"/>
    <s v="Паршакова Т. Л."/>
    <d v="2015-10-17T00:00:00"/>
  </r>
  <r>
    <n v="272"/>
    <n v="7"/>
    <s v="Йошкар-Ола"/>
    <x v="171"/>
    <n v="177"/>
    <n v="72549"/>
    <n v="12841173"/>
    <s v="C"/>
    <s v="Клепизонова Валентина Александровна"/>
    <s v="Клепизонова В. А."/>
    <d v="2016-12-16T00:00:00"/>
  </r>
  <r>
    <n v="273"/>
    <n v="6"/>
    <s v="Харьков"/>
    <x v="41"/>
    <n v="167"/>
    <n v="12116"/>
    <n v="2023372"/>
    <s v="A"/>
    <s v="Анфалова Лилия Рузилевна"/>
    <s v="Анфалова Л. Р."/>
    <d v="2013-10-21T00:00:00"/>
  </r>
  <r>
    <n v="274"/>
    <n v="4"/>
    <s v="Казань"/>
    <x v="49"/>
    <n v="52"/>
    <n v="98904"/>
    <n v="5143008"/>
    <s v="B"/>
    <s v="Бармина Юлия Анатольевна"/>
    <s v="Бармина Ю. А."/>
    <d v="2014-11-12T00:00:00"/>
  </r>
  <r>
    <n v="275"/>
    <n v="4"/>
    <s v="Казань"/>
    <x v="37"/>
    <n v="70"/>
    <n v="44203"/>
    <n v="3094210"/>
    <s v="A"/>
    <s v="Крапивина Любовь Владимировна"/>
    <s v="Крапивина Л. В."/>
    <d v="2015-10-11T00:00:00"/>
  </r>
  <r>
    <n v="276"/>
    <n v="5"/>
    <s v="Омск"/>
    <x v="172"/>
    <n v="28"/>
    <n v="64360"/>
    <n v="1802080"/>
    <s v="A"/>
    <s v="Пермякова Ольга Анатольевна"/>
    <s v="Пермякова О. А."/>
    <d v="2016-11-11T00:00:00"/>
  </r>
  <r>
    <n v="277"/>
    <n v="1"/>
    <s v="Москва"/>
    <x v="99"/>
    <n v="97"/>
    <n v="15912"/>
    <n v="1543464"/>
    <s v="A"/>
    <s v="Королев Алексей Михайлович"/>
    <s v="Королев А. М."/>
    <d v="2016-11-12T00:00:00"/>
  </r>
  <r>
    <n v="278"/>
    <n v="1"/>
    <s v="Москва"/>
    <x v="139"/>
    <n v="192"/>
    <n v="75174"/>
    <n v="14433408"/>
    <s v="C"/>
    <s v="Попова Антонина Алексеевна"/>
    <s v="Попова А. А."/>
    <d v="2014-11-14T00:00:00"/>
  </r>
  <r>
    <n v="279"/>
    <n v="5"/>
    <s v="Омск"/>
    <x v="173"/>
    <n v="43"/>
    <n v="29259"/>
    <n v="1258137"/>
    <s v="A"/>
    <s v="Зубова Ирина Михайловна"/>
    <s v="Зубова И. М."/>
    <d v="2014-12-28T00:00:00"/>
  </r>
  <r>
    <n v="280"/>
    <n v="3"/>
    <s v="Челябинск"/>
    <x v="174"/>
    <n v="79"/>
    <n v="97637"/>
    <n v="7713323"/>
    <s v="B"/>
    <s v="Минина Татьяна Викторовна"/>
    <s v="Минина Т. В."/>
    <d v="2015-10-25T00:00:00"/>
  </r>
  <r>
    <n v="281"/>
    <n v="4"/>
    <s v="Казань"/>
    <x v="139"/>
    <n v="134"/>
    <n v="17154"/>
    <n v="2298636"/>
    <s v="A"/>
    <s v="Меркушев Алексей Сергеевич"/>
    <s v="Меркушев А. С."/>
    <d v="2014-11-14T00:00:00"/>
  </r>
  <r>
    <n v="282"/>
    <n v="4"/>
    <s v="Казань"/>
    <x v="175"/>
    <n v="136"/>
    <n v="12224"/>
    <n v="1662464"/>
    <s v="A"/>
    <s v="Лакеенков Дмитрий Владимирович"/>
    <s v="Лакеенков Д. В."/>
    <d v="2017-12-22T00:00:00"/>
  </r>
  <r>
    <n v="283"/>
    <n v="7"/>
    <s v="Йошкар-Ола"/>
    <x v="121"/>
    <n v="2"/>
    <n v="71426"/>
    <n v="142852"/>
    <s v="A"/>
    <s v="Пермякова Ольга Анатольевна"/>
    <s v="Пермякова О. А."/>
    <d v="2015-10-19T00:00:00"/>
  </r>
  <r>
    <n v="284"/>
    <n v="4"/>
    <s v="Казань"/>
    <x v="45"/>
    <n v="26"/>
    <n v="79152"/>
    <n v="2057952"/>
    <s v="A"/>
    <s v="Иванова Лидия Николаевна"/>
    <s v="Иванова Л. Н."/>
    <d v="2014-12-21T00:00:00"/>
  </r>
  <r>
    <n v="285"/>
    <n v="7"/>
    <s v="Йошкар-Ола"/>
    <x v="133"/>
    <n v="3"/>
    <n v="23196"/>
    <n v="69588"/>
    <s v="A"/>
    <s v="Патрушева Вероника Вадимовна"/>
    <s v="Патрушева В. В."/>
    <d v="2013-11-18T00:00:00"/>
  </r>
  <r>
    <n v="286"/>
    <n v="2"/>
    <s v="Санкт-Петербург"/>
    <x v="40"/>
    <n v="103"/>
    <n v="8127"/>
    <n v="837081"/>
    <s v="A"/>
    <s v="Неклюдова Ирина Ивановна"/>
    <s v="Неклюдова И. И."/>
    <d v="2015-12-18T00:00:00"/>
  </r>
  <r>
    <n v="287"/>
    <n v="1"/>
    <s v="Москва"/>
    <x v="57"/>
    <n v="142"/>
    <n v="2104"/>
    <n v="298768"/>
    <s v="A"/>
    <s v="Меркушев Алексей Сергеевич"/>
    <s v="Меркушев А. С."/>
    <d v="2017-12-12T00:00:00"/>
  </r>
  <r>
    <n v="288"/>
    <n v="3"/>
    <s v="Челябинск"/>
    <x v="59"/>
    <n v="47"/>
    <n v="32950"/>
    <n v="1548650"/>
    <s v="A"/>
    <s v="Власова Лариса Анатольевна"/>
    <s v="Власова Л. А."/>
    <d v="2014-12-13T00:00:00"/>
  </r>
  <r>
    <n v="289"/>
    <n v="7"/>
    <s v="Йошкар-Ола"/>
    <x v="61"/>
    <n v="145"/>
    <n v="88936"/>
    <n v="12895720"/>
    <s v="C"/>
    <s v="Демидова Елена Борисовна"/>
    <s v="Демидова Е. Б."/>
    <d v="2014-11-13T00:00:00"/>
  </r>
  <r>
    <n v="290"/>
    <n v="4"/>
    <s v="Казань"/>
    <x v="176"/>
    <n v="41"/>
    <n v="62126"/>
    <n v="2547166"/>
    <s v="A"/>
    <s v="Мамаева Ольга Юрьевна"/>
    <s v="Мамаева О. Ю."/>
    <d v="2015-11-15T00:00:00"/>
  </r>
  <r>
    <n v="291"/>
    <n v="1"/>
    <s v="Москва"/>
    <x v="176"/>
    <n v="87"/>
    <n v="92384"/>
    <n v="8037408"/>
    <s v="B"/>
    <s v="Дьякова Татьяна Аркадьевна"/>
    <s v="Дьякова Т. А."/>
    <d v="2015-11-15T00:00:00"/>
  </r>
  <r>
    <n v="292"/>
    <n v="2"/>
    <s v="Санкт-Петербург"/>
    <x v="36"/>
    <n v="145"/>
    <n v="23888"/>
    <n v="3463760"/>
    <s v="A"/>
    <s v="Пермякова Ольга Анатольевна"/>
    <s v="Пермякова О. А."/>
    <d v="2015-10-12T00:00:00"/>
  </r>
  <r>
    <n v="293"/>
    <n v="1"/>
    <s v="Москва"/>
    <x v="61"/>
    <n v="152"/>
    <n v="74744"/>
    <n v="11361088"/>
    <s v="C"/>
    <s v="Анфалова Лилия Рузилевна"/>
    <s v="Анфалова Л. Р."/>
    <d v="2014-11-13T00:00:00"/>
  </r>
  <r>
    <n v="294"/>
    <n v="5"/>
    <s v="Омск"/>
    <x v="153"/>
    <n v="37"/>
    <n v="51742"/>
    <n v="1914454"/>
    <s v="A"/>
    <s v="Зуева Елена Юрьевна"/>
    <s v="Зуева Е. Ю."/>
    <d v="2017-10-13T00:00:00"/>
  </r>
  <r>
    <n v="295"/>
    <n v="3"/>
    <s v="Челябинск"/>
    <x v="144"/>
    <n v="37"/>
    <n v="75424"/>
    <n v="2790688"/>
    <s v="A"/>
    <s v="Мамаева Ольга Юрьевна"/>
    <s v="Мамаева О. Ю."/>
    <d v="2017-12-25T00:00:00"/>
  </r>
  <r>
    <n v="296"/>
    <n v="3"/>
    <s v="Челябинск"/>
    <x v="123"/>
    <n v="83"/>
    <n v="60971"/>
    <n v="5060593"/>
    <s v="B"/>
    <s v="Абалтусова Вера Геннадьевна"/>
    <s v="Абалтусова В. Г."/>
    <d v="2014-11-22T00:00:00"/>
  </r>
  <r>
    <n v="297"/>
    <n v="3"/>
    <s v="Челябинск"/>
    <x v="28"/>
    <n v="102"/>
    <n v="67654"/>
    <n v="6900708"/>
    <s v="B"/>
    <s v="Неклюдова Ирина Ивановна"/>
    <s v="Неклюдова И. И."/>
    <d v="2017-10-14T00:00:00"/>
  </r>
  <r>
    <n v="298"/>
    <n v="5"/>
    <s v="Омск"/>
    <x v="157"/>
    <n v="158"/>
    <n v="73974"/>
    <n v="11687892"/>
    <s v="C"/>
    <s v="Власова Лариса Анатольевна"/>
    <s v="Власова Л. А."/>
    <d v="2014-10-27T00:00:00"/>
  </r>
  <r>
    <n v="299"/>
    <n v="4"/>
    <s v="Казань"/>
    <x v="177"/>
    <n v="82"/>
    <n v="30503"/>
    <n v="2501246"/>
    <s v="A"/>
    <s v="Лакеенков Дмитрий Владимирович"/>
    <s v="Лакеенков Д. В."/>
    <d v="2015-11-17T00:00:00"/>
  </r>
  <r>
    <n v="300"/>
    <n v="5"/>
    <s v="Омск"/>
    <x v="102"/>
    <n v="12"/>
    <n v="51189"/>
    <n v="614268"/>
    <s v="A"/>
    <s v="Кадырова Елена Анатольевна"/>
    <s v="Кадырова Е. А."/>
    <d v="2015-10-10T00:00:00"/>
  </r>
  <r>
    <n v="301"/>
    <n v="5"/>
    <s v="Омск"/>
    <x v="178"/>
    <n v="113"/>
    <n v="59292"/>
    <n v="6699996"/>
    <s v="B"/>
    <s v="Подчуфарова Жанна Анатольевна"/>
    <s v="Подчуфарова Ж. А."/>
    <d v="2014-12-11T00:00:00"/>
  </r>
  <r>
    <n v="302"/>
    <n v="7"/>
    <s v="Йошкар-Ола"/>
    <x v="179"/>
    <n v="141"/>
    <n v="12108"/>
    <n v="1707228"/>
    <s v="A"/>
    <s v="Королев Алексей Михайлович"/>
    <s v="Королев А. М."/>
    <d v="2013-12-12T00:00:00"/>
  </r>
  <r>
    <n v="303"/>
    <n v="3"/>
    <s v="Челябинск"/>
    <x v="180"/>
    <n v="35"/>
    <n v="25750"/>
    <n v="901250"/>
    <s v="A"/>
    <s v="Лыхина Тамара Алексеевна"/>
    <s v="Лыхина Т. А."/>
    <d v="2016-11-17T00:00:00"/>
  </r>
  <r>
    <n v="304"/>
    <n v="3"/>
    <s v="Челябинск"/>
    <x v="181"/>
    <n v="165"/>
    <n v="78630"/>
    <n v="12973950"/>
    <s v="C"/>
    <s v="Давыдова Татьяна Константиновна"/>
    <s v="Давыдова Т. К."/>
    <d v="2015-12-17T00:00:00"/>
  </r>
  <r>
    <n v="305"/>
    <n v="1"/>
    <s v="Москва"/>
    <x v="97"/>
    <n v="130"/>
    <n v="92026"/>
    <n v="11963380"/>
    <s v="C"/>
    <s v="Воробьева Юлия Александровна"/>
    <s v="Воробьева Ю. А."/>
    <d v="2017-12-19T00:00:00"/>
  </r>
  <r>
    <n v="306"/>
    <n v="7"/>
    <s v="Йошкар-Ола"/>
    <x v="182"/>
    <n v="158"/>
    <n v="73917"/>
    <n v="11678886"/>
    <s v="C"/>
    <s v="Лоскутова Маргарита Валентиновна"/>
    <s v="Лоскутова М. В."/>
    <d v="2015-10-15T00:00:00"/>
  </r>
  <r>
    <n v="307"/>
    <n v="5"/>
    <s v="Омск"/>
    <x v="136"/>
    <n v="96"/>
    <n v="18888"/>
    <n v="1813248"/>
    <s v="A"/>
    <s v="Васнин Валерий Викторович"/>
    <s v="Васнин В. В."/>
    <d v="2016-11-26T00:00:00"/>
  </r>
  <r>
    <n v="308"/>
    <n v="2"/>
    <s v="Санкт-Петербург"/>
    <x v="172"/>
    <n v="145"/>
    <n v="64015"/>
    <n v="9282175"/>
    <s v="B"/>
    <s v="Зуева Елена Юрьевна"/>
    <s v="Зуева Е. Ю."/>
    <d v="2016-11-11T00:00:00"/>
  </r>
  <r>
    <n v="309"/>
    <n v="3"/>
    <s v="Челябинск"/>
    <x v="45"/>
    <n v="68"/>
    <n v="53007"/>
    <n v="3604476"/>
    <s v="A"/>
    <s v="Исцелемова Светлана Александровна"/>
    <s v="Исцелемова С. А."/>
    <d v="2014-12-21T00:00:00"/>
  </r>
  <r>
    <n v="310"/>
    <n v="2"/>
    <s v="Санкт-Петербург"/>
    <x v="169"/>
    <n v="23"/>
    <n v="16218"/>
    <n v="373014"/>
    <s v="A"/>
    <s v="Клепизонова Валентина Александровна"/>
    <s v="Клепизонова В. А."/>
    <d v="2014-10-22T00:00:00"/>
  </r>
  <r>
    <n v="311"/>
    <n v="1"/>
    <s v="Москва"/>
    <x v="21"/>
    <n v="139"/>
    <n v="34439"/>
    <n v="4787021"/>
    <s v="A"/>
    <s v="Ильина Татьяна Николаевна"/>
    <s v="Ильина Т. Н."/>
    <d v="2013-12-10T00:00:00"/>
  </r>
  <r>
    <n v="312"/>
    <n v="7"/>
    <s v="Йошкар-Ола"/>
    <x v="13"/>
    <n v="14"/>
    <n v="81351"/>
    <n v="1138914"/>
    <s v="A"/>
    <s v="Паршакова Татьяна Леонтьевна"/>
    <s v="Паршакова Т. Л."/>
    <d v="2015-10-26T00:00:00"/>
  </r>
  <r>
    <n v="313"/>
    <n v="3"/>
    <s v="Челябинск"/>
    <x v="10"/>
    <n v="164"/>
    <n v="51510"/>
    <n v="8447640"/>
    <s v="B"/>
    <s v="Паршакова Татьяна Леонтьевна"/>
    <s v="Паршакова Т. Л."/>
    <d v="2013-11-26T00:00:00"/>
  </r>
  <r>
    <n v="314"/>
    <n v="5"/>
    <s v="Омск"/>
    <x v="67"/>
    <n v="33"/>
    <n v="67134"/>
    <n v="2215422"/>
    <s v="A"/>
    <s v="Пермякова Ольга Анатольевна"/>
    <s v="Пермякова О. А."/>
    <d v="2013-10-12T00:00:00"/>
  </r>
  <r>
    <n v="315"/>
    <n v="5"/>
    <s v="Омск"/>
    <x v="7"/>
    <n v="170"/>
    <n v="25056"/>
    <n v="4259520"/>
    <s v="A"/>
    <s v="Дружинин Андрей Владимирович"/>
    <s v="Дружинин А. В."/>
    <d v="2013-12-20T00:00:00"/>
  </r>
  <r>
    <n v="316"/>
    <n v="1"/>
    <s v="Москва"/>
    <x v="121"/>
    <n v="87"/>
    <n v="49052"/>
    <n v="4267524"/>
    <s v="A"/>
    <s v="Патрушева Вероника Вадимовна"/>
    <s v="Патрушева В. В."/>
    <d v="2015-10-19T00:00:00"/>
  </r>
  <r>
    <n v="317"/>
    <n v="2"/>
    <s v="Санкт-Петербург"/>
    <x v="50"/>
    <n v="164"/>
    <n v="68985"/>
    <n v="11313540"/>
    <s v="C"/>
    <s v="Коновалов Петр Иванович"/>
    <s v="Коновалов П. И."/>
    <d v="2017-10-21T00:00:00"/>
  </r>
  <r>
    <n v="318"/>
    <n v="7"/>
    <s v="Йошкар-Ола"/>
    <x v="110"/>
    <n v="35"/>
    <n v="6374"/>
    <n v="223090"/>
    <s v="A"/>
    <s v="Паршакова Татьяна Леонтьевна"/>
    <s v="Паршакова Т. Л."/>
    <d v="2017-10-15T00:00:00"/>
  </r>
  <r>
    <n v="319"/>
    <n v="2"/>
    <s v="Санкт-Петербург"/>
    <x v="183"/>
    <n v="189"/>
    <n v="59646"/>
    <n v="11273094"/>
    <s v="C"/>
    <s v="Васнин Валерий Викторович"/>
    <s v="Васнин В. В."/>
    <d v="2013-11-13T00:00:00"/>
  </r>
  <r>
    <n v="320"/>
    <n v="6"/>
    <s v="Харьков"/>
    <x v="165"/>
    <n v="196"/>
    <n v="76965"/>
    <n v="15085140"/>
    <s v="C"/>
    <s v="Ильина Татьяна Николаевна"/>
    <s v="Ильина Т. Н."/>
    <d v="2015-10-21T00:00:00"/>
  </r>
  <r>
    <n v="321"/>
    <n v="2"/>
    <s v="Санкт-Петербург"/>
    <x v="184"/>
    <n v="39"/>
    <n v="64848"/>
    <n v="2529072"/>
    <s v="A"/>
    <s v="Патрушева Вероника Вадимовна"/>
    <s v="Патрушева В. В."/>
    <d v="2017-11-15T00:00:00"/>
  </r>
  <r>
    <n v="322"/>
    <n v="5"/>
    <s v="Омск"/>
    <x v="185"/>
    <n v="82"/>
    <n v="52862"/>
    <n v="4334684"/>
    <s v="A"/>
    <s v="Подчуфарова Жанна Анатольевна"/>
    <s v="Подчуфарова Ж. А."/>
    <d v="2017-10-18T00:00:00"/>
  </r>
  <r>
    <n v="323"/>
    <n v="3"/>
    <s v="Челябинск"/>
    <x v="186"/>
    <n v="99"/>
    <n v="47696"/>
    <n v="4721904"/>
    <s v="A"/>
    <s v="Королев Алексей Михайлович"/>
    <s v="Королев А. М."/>
    <d v="2013-10-13T00:00:00"/>
  </r>
  <r>
    <n v="324"/>
    <n v="5"/>
    <s v="Омск"/>
    <x v="108"/>
    <n v="41"/>
    <n v="92568"/>
    <n v="3795288"/>
    <s v="A"/>
    <s v="Байбикова Наиля Миясяровна"/>
    <s v="Байбикова Н. М."/>
    <d v="2013-12-25T00:00:00"/>
  </r>
  <r>
    <n v="325"/>
    <n v="5"/>
    <s v="Омск"/>
    <x v="187"/>
    <n v="124"/>
    <n v="39379"/>
    <n v="4882996"/>
    <s v="A"/>
    <s v="Демидова Елена Борисовна"/>
    <s v="Демидова Е. Б."/>
    <d v="2017-11-21T00:00:00"/>
  </r>
  <r>
    <n v="326"/>
    <n v="1"/>
    <s v="Москва"/>
    <x v="188"/>
    <n v="181"/>
    <n v="44354"/>
    <n v="8028074"/>
    <s v="B"/>
    <s v="Дьякова Татьяна Аркадьевна"/>
    <s v="Дьякова Т. А."/>
    <d v="2015-11-21T00:00:00"/>
  </r>
  <r>
    <n v="327"/>
    <n v="4"/>
    <s v="Казань"/>
    <x v="128"/>
    <n v="159"/>
    <n v="35070"/>
    <n v="5576130"/>
    <s v="B"/>
    <s v="Гордеева Александра Петровна"/>
    <s v="Гордеева А. П."/>
    <d v="2017-10-20T00:00:00"/>
  </r>
  <r>
    <n v="328"/>
    <n v="3"/>
    <s v="Челябинск"/>
    <x v="166"/>
    <n v="194"/>
    <n v="46278"/>
    <n v="8977932"/>
    <s v="B"/>
    <s v="Каскеева Екатерина Алексеевна"/>
    <s v="Каскеева Е. А."/>
    <d v="2014-12-26T00:00:00"/>
  </r>
  <r>
    <n v="329"/>
    <n v="6"/>
    <s v="Харьков"/>
    <x v="189"/>
    <n v="110"/>
    <n v="61371"/>
    <n v="6750810"/>
    <s v="B"/>
    <s v="Лакеенков Дмитрий Владимирович"/>
    <s v="Лакеенков Д. В."/>
    <d v="2014-10-24T00:00:00"/>
  </r>
  <r>
    <n v="330"/>
    <n v="2"/>
    <s v="Санкт-Петербург"/>
    <x v="190"/>
    <n v="102"/>
    <n v="99569"/>
    <n v="10156038"/>
    <s v="C"/>
    <s v="Мец Владимир Петрович"/>
    <s v="Мец В. П."/>
    <d v="2015-11-25T00:00:00"/>
  </r>
  <r>
    <n v="331"/>
    <n v="6"/>
    <s v="Харьков"/>
    <x v="191"/>
    <n v="132"/>
    <n v="89461"/>
    <n v="11808852"/>
    <s v="C"/>
    <s v="Каячева Маргарита Владиславовна"/>
    <s v="Каячева М. В."/>
    <d v="2017-12-23T00:00:00"/>
  </r>
  <r>
    <n v="332"/>
    <n v="6"/>
    <s v="Харьков"/>
    <x v="190"/>
    <n v="161"/>
    <n v="41411"/>
    <n v="6667171"/>
    <s v="B"/>
    <s v="Исцелемова Светлана Александровна"/>
    <s v="Исцелемова С. А."/>
    <d v="2015-11-25T00:00:00"/>
  </r>
  <r>
    <n v="333"/>
    <n v="5"/>
    <s v="Омск"/>
    <x v="3"/>
    <n v="178"/>
    <n v="48684"/>
    <n v="8665752"/>
    <s v="B"/>
    <s v="Голдобина Алевтина Владимировна"/>
    <s v="Голдобина А. В."/>
    <d v="2015-10-22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5994EA-7338-413B-9EA4-8CB7A9B0C524}" name="Сводная таблица5" cacheId="51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>
  <location ref="A3:E12" firstHeaderRow="1" firstDataRow="2" firstDataCol="1"/>
  <pivotFields count="11">
    <pivotField showAll="0"/>
    <pivotField showAll="0"/>
    <pivotField axis="axisRow" showAll="0">
      <items count="8">
        <item x="2"/>
        <item x="4"/>
        <item x="1"/>
        <item x="5"/>
        <item x="3"/>
        <item x="0"/>
        <item x="6"/>
        <item t="default"/>
      </items>
    </pivotField>
    <pivotField showAll="0">
      <items count="193">
        <item x="111"/>
        <item x="54"/>
        <item x="102"/>
        <item x="22"/>
        <item x="12"/>
        <item x="85"/>
        <item x="77"/>
        <item x="73"/>
        <item x="21"/>
        <item x="107"/>
        <item x="37"/>
        <item x="148"/>
        <item x="38"/>
        <item x="143"/>
        <item x="31"/>
        <item x="172"/>
        <item x="118"/>
        <item x="14"/>
        <item x="178"/>
        <item x="161"/>
        <item x="67"/>
        <item x="36"/>
        <item x="49"/>
        <item x="116"/>
        <item x="99"/>
        <item x="179"/>
        <item x="34"/>
        <item x="127"/>
        <item x="33"/>
        <item x="57"/>
        <item x="186"/>
        <item x="151"/>
        <item x="149"/>
        <item x="153"/>
        <item x="183"/>
        <item x="61"/>
        <item x="23"/>
        <item x="126"/>
        <item x="72"/>
        <item x="92"/>
        <item x="59"/>
        <item x="17"/>
        <item x="4"/>
        <item x="39"/>
        <item x="163"/>
        <item x="28"/>
        <item x="60"/>
        <item x="139"/>
        <item x="47"/>
        <item x="82"/>
        <item x="115"/>
        <item x="124"/>
        <item x="78"/>
        <item x="51"/>
        <item x="146"/>
        <item x="81"/>
        <item x="182"/>
        <item x="6"/>
        <item x="110"/>
        <item x="112"/>
        <item x="176"/>
        <item x="114"/>
        <item x="184"/>
        <item x="152"/>
        <item x="2"/>
        <item x="42"/>
        <item x="5"/>
        <item x="11"/>
        <item x="8"/>
        <item x="142"/>
        <item x="27"/>
        <item x="105"/>
        <item x="65"/>
        <item x="129"/>
        <item x="171"/>
        <item x="93"/>
        <item x="53"/>
        <item x="86"/>
        <item x="90"/>
        <item x="113"/>
        <item x="177"/>
        <item x="180"/>
        <item x="170"/>
        <item x="181"/>
        <item x="145"/>
        <item x="35"/>
        <item x="160"/>
        <item x="185"/>
        <item x="133"/>
        <item x="56"/>
        <item x="109"/>
        <item x="40"/>
        <item x="89"/>
        <item x="121"/>
        <item x="103"/>
        <item x="19"/>
        <item x="30"/>
        <item x="141"/>
        <item x="130"/>
        <item x="26"/>
        <item x="9"/>
        <item x="140"/>
        <item x="164"/>
        <item x="97"/>
        <item x="83"/>
        <item x="62"/>
        <item x="132"/>
        <item x="128"/>
        <item x="70"/>
        <item x="15"/>
        <item x="46"/>
        <item x="16"/>
        <item x="7"/>
        <item x="20"/>
        <item x="137"/>
        <item x="44"/>
        <item x="41"/>
        <item x="131"/>
        <item x="165"/>
        <item x="64"/>
        <item x="50"/>
        <item x="18"/>
        <item x="188"/>
        <item x="187"/>
        <item x="79"/>
        <item x="45"/>
        <item x="159"/>
        <item x="155"/>
        <item x="48"/>
        <item x="169"/>
        <item x="3"/>
        <item x="98"/>
        <item x="123"/>
        <item x="100"/>
        <item x="69"/>
        <item x="101"/>
        <item x="122"/>
        <item x="175"/>
        <item x="138"/>
        <item x="154"/>
        <item x="162"/>
        <item x="68"/>
        <item x="1"/>
        <item x="134"/>
        <item x="191"/>
        <item x="189"/>
        <item x="71"/>
        <item x="43"/>
        <item x="32"/>
        <item x="104"/>
        <item x="80"/>
        <item x="24"/>
        <item x="119"/>
        <item x="106"/>
        <item x="174"/>
        <item x="117"/>
        <item x="190"/>
        <item x="88"/>
        <item x="125"/>
        <item x="108"/>
        <item x="96"/>
        <item x="144"/>
        <item x="156"/>
        <item x="150"/>
        <item x="13"/>
        <item x="167"/>
        <item x="91"/>
        <item x="10"/>
        <item x="136"/>
        <item x="76"/>
        <item x="158"/>
        <item x="166"/>
        <item x="52"/>
        <item x="25"/>
        <item x="157"/>
        <item x="0"/>
        <item x="87"/>
        <item x="29"/>
        <item x="75"/>
        <item x="84"/>
        <item x="58"/>
        <item x="95"/>
        <item x="168"/>
        <item x="63"/>
        <item x="147"/>
        <item x="55"/>
        <item x="74"/>
        <item x="66"/>
        <item x="120"/>
        <item x="94"/>
        <item x="173"/>
        <item x="135"/>
        <item t="default"/>
      </items>
    </pivotField>
    <pivotField showAll="0"/>
    <pivotField numFmtId="164" showAll="0"/>
    <pivotField dataField="1" numFmtId="164"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Сумма по полю Сумма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321365-4B6F-4E2F-A610-AF66120BCE49}" name="Сводная таблица11" cacheId="52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>
  <location ref="A3:B24" firstHeaderRow="1" firstDataRow="1" firstDataCol="1"/>
  <pivotFields count="13">
    <pivotField showAll="0"/>
    <pivotField showAll="0"/>
    <pivotField showAll="0"/>
    <pivotField numFmtId="165" showAll="0">
      <items count="193">
        <item x="111"/>
        <item x="67"/>
        <item x="186"/>
        <item x="4"/>
        <item x="146"/>
        <item x="53"/>
        <item x="35"/>
        <item x="89"/>
        <item x="41"/>
        <item x="48"/>
        <item x="138"/>
        <item x="106"/>
        <item x="156"/>
        <item x="85"/>
        <item x="143"/>
        <item x="183"/>
        <item x="60"/>
        <item x="112"/>
        <item x="142"/>
        <item x="133"/>
        <item x="30"/>
        <item x="70"/>
        <item x="43"/>
        <item x="10"/>
        <item x="66"/>
        <item x="21"/>
        <item x="14"/>
        <item x="179"/>
        <item x="92"/>
        <item x="152"/>
        <item x="26"/>
        <item x="7"/>
        <item x="79"/>
        <item x="1"/>
        <item x="104"/>
        <item x="108"/>
        <item x="158"/>
        <item x="54"/>
        <item x="107"/>
        <item x="81"/>
        <item x="5"/>
        <item x="86"/>
        <item x="83"/>
        <item x="131"/>
        <item x="169"/>
        <item x="189"/>
        <item x="150"/>
        <item x="157"/>
        <item x="63"/>
        <item x="77"/>
        <item x="49"/>
        <item x="61"/>
        <item x="139"/>
        <item x="27"/>
        <item x="56"/>
        <item x="141"/>
        <item x="15"/>
        <item x="18"/>
        <item x="123"/>
        <item x="87"/>
        <item x="120"/>
        <item x="178"/>
        <item x="34"/>
        <item x="59"/>
        <item x="65"/>
        <item x="170"/>
        <item x="9"/>
        <item x="20"/>
        <item x="45"/>
        <item x="80"/>
        <item x="96"/>
        <item x="166"/>
        <item x="84"/>
        <item x="173"/>
        <item x="102"/>
        <item x="37"/>
        <item x="36"/>
        <item x="151"/>
        <item x="39"/>
        <item x="182"/>
        <item x="90"/>
        <item x="160"/>
        <item x="121"/>
        <item x="62"/>
        <item x="165"/>
        <item x="3"/>
        <item x="154"/>
        <item x="174"/>
        <item x="13"/>
        <item x="0"/>
        <item x="147"/>
        <item x="31"/>
        <item x="116"/>
        <item x="23"/>
        <item x="47"/>
        <item x="176"/>
        <item x="105"/>
        <item x="177"/>
        <item x="109"/>
        <item x="46"/>
        <item x="188"/>
        <item x="100"/>
        <item x="190"/>
        <item x="94"/>
        <item x="161"/>
        <item x="127"/>
        <item x="124"/>
        <item x="129"/>
        <item x="181"/>
        <item x="40"/>
        <item x="140"/>
        <item x="137"/>
        <item x="122"/>
        <item x="24"/>
        <item x="52"/>
        <item x="58"/>
        <item x="22"/>
        <item x="148"/>
        <item x="149"/>
        <item x="163"/>
        <item x="6"/>
        <item x="11"/>
        <item x="103"/>
        <item x="132"/>
        <item x="64"/>
        <item x="98"/>
        <item x="71"/>
        <item x="167"/>
        <item x="55"/>
        <item x="172"/>
        <item x="99"/>
        <item x="126"/>
        <item x="82"/>
        <item x="114"/>
        <item x="180"/>
        <item x="130"/>
        <item x="69"/>
        <item x="162"/>
        <item x="88"/>
        <item x="136"/>
        <item x="29"/>
        <item x="33"/>
        <item x="78"/>
        <item x="2"/>
        <item x="171"/>
        <item x="164"/>
        <item x="44"/>
        <item x="159"/>
        <item x="134"/>
        <item x="119"/>
        <item x="25"/>
        <item x="95"/>
        <item x="12"/>
        <item x="38"/>
        <item x="153"/>
        <item x="28"/>
        <item x="110"/>
        <item x="8"/>
        <item x="113"/>
        <item x="185"/>
        <item x="19"/>
        <item x="128"/>
        <item x="50"/>
        <item x="117"/>
        <item x="91"/>
        <item x="74"/>
        <item x="73"/>
        <item x="118"/>
        <item x="72"/>
        <item x="115"/>
        <item x="184"/>
        <item x="16"/>
        <item x="187"/>
        <item x="101"/>
        <item x="68"/>
        <item x="32"/>
        <item x="125"/>
        <item x="76"/>
        <item x="75"/>
        <item x="57"/>
        <item x="17"/>
        <item x="51"/>
        <item x="42"/>
        <item x="93"/>
        <item x="145"/>
        <item x="97"/>
        <item x="155"/>
        <item x="175"/>
        <item x="191"/>
        <item x="144"/>
        <item x="168"/>
        <item x="135"/>
        <item t="default"/>
      </items>
    </pivotField>
    <pivotField showAll="0"/>
    <pivotField numFmtId="164" showAll="0"/>
    <pivotField dataField="1" numFmtId="164" showAll="0"/>
    <pivotField showAll="0"/>
    <pivotField showAll="0"/>
    <pivotField showAll="0"/>
    <pivotField numFmtId="165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2">
    <field x="12"/>
    <field x="11"/>
  </rowFields>
  <rowItems count="21">
    <i>
      <x v="1"/>
    </i>
    <i r="1">
      <x v="10"/>
    </i>
    <i r="1">
      <x v="11"/>
    </i>
    <i r="1">
      <x v="12"/>
    </i>
    <i>
      <x v="2"/>
    </i>
    <i r="1">
      <x v="10"/>
    </i>
    <i r="1">
      <x v="11"/>
    </i>
    <i r="1">
      <x v="12"/>
    </i>
    <i>
      <x v="3"/>
    </i>
    <i r="1">
      <x v="10"/>
    </i>
    <i r="1">
      <x v="11"/>
    </i>
    <i r="1">
      <x v="12"/>
    </i>
    <i>
      <x v="4"/>
    </i>
    <i r="1">
      <x v="10"/>
    </i>
    <i r="1">
      <x v="11"/>
    </i>
    <i r="1">
      <x v="12"/>
    </i>
    <i>
      <x v="5"/>
    </i>
    <i r="1">
      <x v="10"/>
    </i>
    <i r="1">
      <x v="11"/>
    </i>
    <i r="1">
      <x v="12"/>
    </i>
    <i t="grand">
      <x/>
    </i>
  </rowItems>
  <colItems count="1">
    <i/>
  </colItems>
  <dataFields count="1">
    <dataField name="Сумма по полю Сумма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A0BF91-90FA-4617-9242-56384C995D50}" name="Таблица1" displayName="Таблица1" ref="A2:K335" totalsRowShown="0" headerRowDxfId="16" dataDxfId="14" headerRowBorderDxfId="15" tableBorderDxfId="13" totalsRowBorderDxfId="12">
  <autoFilter ref="A2:K335" xr:uid="{F9A0BF91-90FA-4617-9242-56384C995D50}"/>
  <tableColumns count="11">
    <tableColumn id="1" xr3:uid="{C4F6B9FF-03EE-4D86-BCA8-3DBB610A5B5F}" name="№" dataDxfId="11"/>
    <tableColumn id="2" xr3:uid="{844B2CBE-D9CD-4CD8-9EAC-6830F7FF7D4A}" name="Код города" dataDxfId="10"/>
    <tableColumn id="3" xr3:uid="{85A50796-7AB5-4E5F-9D99-E519CF4F9FF6}" name="Название города" dataDxfId="9">
      <calculatedColumnFormula>VLOOKUP('БАЗА (1)'!B3,'Справочник (2-3)'!$A$3:$B$9,2,FALSE)</calculatedColumnFormula>
    </tableColumn>
    <tableColumn id="4" xr3:uid="{2938BEA2-35B5-420F-87F0-BE44924E4D85}" name="Дата" dataDxfId="8"/>
    <tableColumn id="5" xr3:uid="{518A99D4-75B8-4568-85C8-6ABE52E0B0C3}" name="Кол-во" dataDxfId="7"/>
    <tableColumn id="6" xr3:uid="{86E12C6E-C07E-4862-B9C3-30CECA768D3E}" name="Цена" dataDxfId="6" dataCellStyle="Финансовый"/>
    <tableColumn id="7" xr3:uid="{08EFC0DE-4C71-4ADF-9F22-C15DB8311F1A}" name="Сумма" dataDxfId="5" dataCellStyle="Финансовый">
      <calculatedColumnFormula>E3*F3</calculatedColumnFormula>
    </tableColumn>
    <tableColumn id="8" xr3:uid="{ACC51A0E-0FEE-40E5-87D4-085F1CA93DEF}" name="Статус" dataDxfId="0">
      <calculatedColumnFormula array="1">_xlfn.IFS('БАЗА (1)'!G3&gt;10000000,'Справочник (2-3)'!$G$5,AND('БАЗА (1)'!G3&lt;=10000000,'БАЗА (1)'!G3&gt;=5000000),'Справочник (2-3)'!$G$4,'БАЗА (1)'!G3&lt;5000000,'Справочник (2-3)'!$G$3)</calculatedColumnFormula>
    </tableColumn>
    <tableColumn id="9" xr3:uid="{65D8380D-A422-403D-9C0A-8C3D2914FA0E}" name="Ответственный" dataDxfId="4"/>
    <tableColumn id="10" xr3:uid="{7F6B46EE-5720-4F12-A6F0-1339264BE5D3}" name="Ответственный (сокр)" dataDxfId="3">
      <calculatedColumnFormula>LEFT(I3,FIND(" ",I3)-1)&amp;" "&amp;LEFT(MID(I3,FIND(" ",I3)+1,LEN(I3)),1)&amp;". "&amp;LEFT(MID(I3,FIND(" ",I3,FIND(" ",I3)+1)+1,LEN(I3)),1)&amp;"."</calculatedColumnFormula>
    </tableColumn>
    <tableColumn id="11" xr3:uid="{20FD2FA4-7FAD-44CD-9D49-6F2075D4CEBB}" name="Дата (new)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8"/>
  </sheetPr>
  <dimension ref="B1:M12"/>
  <sheetViews>
    <sheetView zoomScaleNormal="100" zoomScaleSheetLayoutView="100" workbookViewId="0"/>
  </sheetViews>
  <sheetFormatPr defaultRowHeight="13.2" x14ac:dyDescent="0.25"/>
  <cols>
    <col min="1" max="1" width="2.88671875" customWidth="1"/>
    <col min="12" max="12" width="2.88671875" customWidth="1"/>
    <col min="13" max="13" width="2.88671875" style="18" customWidth="1"/>
    <col min="14" max="14" width="2.88671875" customWidth="1"/>
  </cols>
  <sheetData>
    <row r="1" spans="2:11" ht="15" customHeight="1" thickBot="1" x14ac:dyDescent="0.3"/>
    <row r="2" spans="2:11" ht="13.8" thickTop="1" x14ac:dyDescent="0.25">
      <c r="B2" s="21" t="s">
        <v>30</v>
      </c>
      <c r="C2" s="22"/>
      <c r="D2" s="22"/>
      <c r="E2" s="22"/>
      <c r="F2" s="22"/>
      <c r="G2" s="22"/>
      <c r="H2" s="22"/>
      <c r="I2" s="22"/>
      <c r="J2" s="22"/>
      <c r="K2" s="23"/>
    </row>
    <row r="3" spans="2:11" x14ac:dyDescent="0.25">
      <c r="B3" s="24"/>
      <c r="C3" s="19"/>
      <c r="D3" s="19"/>
      <c r="E3" s="19"/>
      <c r="F3" s="19"/>
      <c r="G3" s="19"/>
      <c r="H3" s="19"/>
      <c r="I3" s="19"/>
      <c r="J3" s="19"/>
      <c r="K3" s="25"/>
    </row>
    <row r="4" spans="2:11" x14ac:dyDescent="0.25">
      <c r="B4" s="24" t="s">
        <v>100</v>
      </c>
      <c r="C4" s="19"/>
      <c r="D4" s="19"/>
      <c r="E4" s="19"/>
      <c r="F4" s="19"/>
      <c r="G4" s="19"/>
      <c r="H4" s="19"/>
      <c r="I4" s="19"/>
      <c r="J4" s="19"/>
      <c r="K4" s="25"/>
    </row>
    <row r="5" spans="2:11" x14ac:dyDescent="0.25">
      <c r="B5" s="24" t="s">
        <v>101</v>
      </c>
      <c r="C5" s="19"/>
      <c r="D5" s="19"/>
      <c r="E5" s="19"/>
      <c r="F5" s="19"/>
      <c r="G5" s="19"/>
      <c r="H5" s="19"/>
      <c r="I5" s="19"/>
      <c r="J5" s="19"/>
      <c r="K5" s="25"/>
    </row>
    <row r="6" spans="2:11" x14ac:dyDescent="0.25">
      <c r="B6" s="24" t="s">
        <v>102</v>
      </c>
      <c r="C6" s="19"/>
      <c r="D6" s="19"/>
      <c r="E6" s="19"/>
      <c r="F6" s="19"/>
      <c r="G6" s="19"/>
      <c r="H6" s="19"/>
      <c r="I6" s="19"/>
      <c r="J6" s="19"/>
      <c r="K6" s="25"/>
    </row>
    <row r="7" spans="2:11" x14ac:dyDescent="0.25">
      <c r="B7" s="24"/>
      <c r="C7" s="19"/>
      <c r="D7" s="19"/>
      <c r="E7" s="19"/>
      <c r="F7" s="19"/>
      <c r="G7" s="19"/>
      <c r="H7" s="19"/>
      <c r="I7" s="19"/>
      <c r="J7" s="19"/>
      <c r="K7" s="25"/>
    </row>
    <row r="8" spans="2:11" x14ac:dyDescent="0.25">
      <c r="B8" s="33" t="s">
        <v>104</v>
      </c>
      <c r="C8" s="34"/>
      <c r="D8" s="34"/>
      <c r="E8" s="34"/>
      <c r="F8" s="34"/>
      <c r="G8" s="34"/>
      <c r="H8" s="34"/>
      <c r="I8" s="34"/>
      <c r="J8" s="34"/>
      <c r="K8" s="35"/>
    </row>
    <row r="9" spans="2:11" x14ac:dyDescent="0.25">
      <c r="B9" s="26" t="s">
        <v>103</v>
      </c>
      <c r="C9" s="20"/>
      <c r="D9" s="20"/>
      <c r="E9" s="20"/>
      <c r="F9" s="20"/>
      <c r="G9" s="20"/>
      <c r="H9" s="20"/>
      <c r="I9" s="20"/>
      <c r="J9" s="20"/>
      <c r="K9" s="31"/>
    </row>
    <row r="10" spans="2:11" x14ac:dyDescent="0.25">
      <c r="B10" s="27"/>
      <c r="C10" s="19"/>
      <c r="D10" s="19"/>
      <c r="E10" s="19"/>
      <c r="F10" s="19"/>
      <c r="G10" s="19"/>
      <c r="H10" s="19"/>
      <c r="I10" s="19"/>
      <c r="J10" s="19"/>
      <c r="K10" s="25"/>
    </row>
    <row r="11" spans="2:11" ht="13.8" thickBot="1" x14ac:dyDescent="0.3">
      <c r="B11" s="28" t="s">
        <v>31</v>
      </c>
      <c r="C11" s="29"/>
      <c r="D11" s="29"/>
      <c r="E11" s="29"/>
      <c r="F11" s="29"/>
      <c r="G11" s="29"/>
      <c r="H11" s="29"/>
      <c r="I11" s="29"/>
      <c r="J11" s="29"/>
      <c r="K11" s="30"/>
    </row>
    <row r="12" spans="2:11" ht="13.8" thickTop="1" x14ac:dyDescent="0.25"/>
  </sheetData>
  <pageMargins left="0.7" right="0.7" top="0.75" bottom="0.75" header="0.3" footer="0.3"/>
  <pageSetup paperSize="9" scale="94" orientation="portrait" r:id="rId1"/>
  <colBreaks count="1" manualBreakCount="1">
    <brk id="11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9"/>
  <sheetViews>
    <sheetView zoomScale="85" zoomScaleNormal="85" workbookViewId="0">
      <pane ySplit="1" topLeftCell="A2" activePane="bottomLeft" state="frozen"/>
      <selection pane="bottomLeft" activeCell="C5" sqref="C5"/>
    </sheetView>
  </sheetViews>
  <sheetFormatPr defaultColWidth="9.109375" defaultRowHeight="13.2" x14ac:dyDescent="0.25"/>
  <cols>
    <col min="1" max="1" width="6.44140625" style="5" bestFit="1" customWidth="1"/>
    <col min="2" max="2" width="88" style="11" bestFit="1" customWidth="1"/>
    <col min="3" max="3" width="22.44140625" style="5" customWidth="1"/>
    <col min="4" max="4" width="25.44140625" style="5" customWidth="1"/>
    <col min="5" max="5" width="2.88671875" style="6" customWidth="1"/>
    <col min="6" max="6" width="2.88671875" style="7" customWidth="1"/>
    <col min="7" max="7" width="2.88671875" style="6" customWidth="1"/>
    <col min="8" max="16384" width="9.109375" style="6"/>
  </cols>
  <sheetData>
    <row r="1" spans="1:4" x14ac:dyDescent="0.25">
      <c r="A1" s="4" t="s">
        <v>21</v>
      </c>
      <c r="B1" s="16" t="s">
        <v>22</v>
      </c>
      <c r="C1" s="4" t="s">
        <v>23</v>
      </c>
      <c r="D1" s="4" t="s">
        <v>41</v>
      </c>
    </row>
    <row r="2" spans="1:4" ht="52.8" x14ac:dyDescent="0.25">
      <c r="A2" s="3">
        <v>1</v>
      </c>
      <c r="B2" s="12" t="s">
        <v>105</v>
      </c>
      <c r="C2" s="3">
        <f>COUNTIFS('БАЗА (1)'!E3:E335,"&lt;=20",'БАЗА (1)'!G3:G335,"&gt;750000")</f>
        <v>7</v>
      </c>
      <c r="D2" s="3"/>
    </row>
    <row r="3" spans="1:4" ht="26.4" x14ac:dyDescent="0.25">
      <c r="A3" s="3">
        <v>2</v>
      </c>
      <c r="B3" s="12" t="s">
        <v>28</v>
      </c>
      <c r="C3" s="13">
        <f>'Справочник (2-3)'!C11</f>
        <v>248274523</v>
      </c>
      <c r="D3" s="3"/>
    </row>
    <row r="4" spans="1:4" ht="26.4" x14ac:dyDescent="0.25">
      <c r="A4" s="3">
        <v>3</v>
      </c>
      <c r="B4" s="12" t="s">
        <v>29</v>
      </c>
      <c r="C4" s="3">
        <f>COUNTIF('БАЗА (1)'!H3:H335,"=B")</f>
        <v>91</v>
      </c>
      <c r="D4" s="3"/>
    </row>
    <row r="5" spans="1:4" ht="39.6" x14ac:dyDescent="0.25">
      <c r="A5" s="3">
        <v>4</v>
      </c>
      <c r="B5" s="12" t="s">
        <v>37</v>
      </c>
      <c r="C5" s="3"/>
      <c r="D5" s="3"/>
    </row>
    <row r="6" spans="1:4" ht="39.6" x14ac:dyDescent="0.25">
      <c r="A6" s="3">
        <v>5</v>
      </c>
      <c r="B6" s="12" t="s">
        <v>35</v>
      </c>
      <c r="C6" s="13">
        <f>SUM('(4)'!B688:B702)</f>
        <v>5696029</v>
      </c>
      <c r="D6" s="13"/>
    </row>
    <row r="7" spans="1:4" ht="39.6" x14ac:dyDescent="0.25">
      <c r="A7" s="3">
        <v>6</v>
      </c>
      <c r="B7" s="12" t="s">
        <v>38</v>
      </c>
      <c r="C7" s="13"/>
      <c r="D7" s="13"/>
    </row>
    <row r="8" spans="1:4" ht="291.75" customHeight="1" x14ac:dyDescent="0.25">
      <c r="A8" s="3">
        <v>7</v>
      </c>
      <c r="B8" s="32" t="s">
        <v>42</v>
      </c>
      <c r="C8" s="13"/>
      <c r="D8" s="13"/>
    </row>
    <row r="9" spans="1:4" ht="39.6" x14ac:dyDescent="0.25">
      <c r="A9" s="3">
        <v>8</v>
      </c>
      <c r="B9" s="12" t="s">
        <v>99</v>
      </c>
      <c r="C9" s="13"/>
      <c r="D9" s="1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5CC64-17C6-41BE-9B39-D497753FE7B4}">
  <dimension ref="A3:E12"/>
  <sheetViews>
    <sheetView workbookViewId="0">
      <selection activeCell="C17" sqref="C17"/>
    </sheetView>
  </sheetViews>
  <sheetFormatPr defaultRowHeight="13.2" x14ac:dyDescent="0.25"/>
  <cols>
    <col min="1" max="1" width="22.77734375" bestFit="1" customWidth="1"/>
    <col min="2" max="2" width="21.44140625" bestFit="1" customWidth="1"/>
    <col min="3" max="4" width="10" bestFit="1" customWidth="1"/>
    <col min="5" max="5" width="11.88671875" bestFit="1" customWidth="1"/>
  </cols>
  <sheetData>
    <row r="3" spans="1:5" x14ac:dyDescent="0.25">
      <c r="A3" s="36" t="s">
        <v>108</v>
      </c>
      <c r="B3" s="36" t="s">
        <v>109</v>
      </c>
    </row>
    <row r="4" spans="1:5" x14ac:dyDescent="0.25">
      <c r="A4" s="36" t="s">
        <v>106</v>
      </c>
      <c r="B4" t="s">
        <v>15</v>
      </c>
      <c r="C4" t="s">
        <v>16</v>
      </c>
      <c r="D4" t="s">
        <v>17</v>
      </c>
      <c r="E4" t="s">
        <v>107</v>
      </c>
    </row>
    <row r="5" spans="1:5" x14ac:dyDescent="0.25">
      <c r="A5" s="37" t="s">
        <v>14</v>
      </c>
      <c r="B5" s="39">
        <v>38782532</v>
      </c>
      <c r="C5" s="39">
        <v>83097352</v>
      </c>
      <c r="D5" s="39">
        <v>77447227</v>
      </c>
      <c r="E5" s="39">
        <v>199327111</v>
      </c>
    </row>
    <row r="6" spans="1:5" x14ac:dyDescent="0.25">
      <c r="A6" s="37" t="s">
        <v>11</v>
      </c>
      <c r="B6" s="39">
        <v>53362423</v>
      </c>
      <c r="C6" s="39">
        <v>91729609</v>
      </c>
      <c r="D6" s="39">
        <v>69837320</v>
      </c>
      <c r="E6" s="39">
        <v>214929352</v>
      </c>
    </row>
    <row r="7" spans="1:5" x14ac:dyDescent="0.25">
      <c r="A7" s="37" t="s">
        <v>6</v>
      </c>
      <c r="B7" s="39">
        <v>46895343</v>
      </c>
      <c r="C7" s="39">
        <v>93246288</v>
      </c>
      <c r="D7" s="39">
        <v>126828500</v>
      </c>
      <c r="E7" s="39">
        <v>266970131</v>
      </c>
    </row>
    <row r="8" spans="1:5" x14ac:dyDescent="0.25">
      <c r="A8" s="37" t="s">
        <v>12</v>
      </c>
      <c r="B8" s="39">
        <v>78562447</v>
      </c>
      <c r="C8" s="39">
        <v>73211873</v>
      </c>
      <c r="D8" s="39">
        <v>94389111</v>
      </c>
      <c r="E8" s="39">
        <v>246163431</v>
      </c>
    </row>
    <row r="9" spans="1:5" x14ac:dyDescent="0.25">
      <c r="A9" s="37" t="s">
        <v>7</v>
      </c>
      <c r="B9" s="39">
        <v>75897332</v>
      </c>
      <c r="C9" s="39">
        <v>133840860</v>
      </c>
      <c r="D9" s="39">
        <v>80978656</v>
      </c>
      <c r="E9" s="39">
        <v>290716848</v>
      </c>
    </row>
    <row r="10" spans="1:5" x14ac:dyDescent="0.25">
      <c r="A10" s="37" t="s">
        <v>13</v>
      </c>
      <c r="B10" s="39">
        <v>37642501</v>
      </c>
      <c r="C10" s="39">
        <v>85456873</v>
      </c>
      <c r="D10" s="39">
        <v>125175149</v>
      </c>
      <c r="E10" s="39">
        <v>248274523</v>
      </c>
    </row>
    <row r="11" spans="1:5" x14ac:dyDescent="0.25">
      <c r="A11" s="37" t="s">
        <v>8</v>
      </c>
      <c r="B11" s="39">
        <v>76590642</v>
      </c>
      <c r="C11" s="39">
        <v>117784619</v>
      </c>
      <c r="D11" s="39">
        <v>58626130</v>
      </c>
      <c r="E11" s="39">
        <v>253001391</v>
      </c>
    </row>
    <row r="12" spans="1:5" x14ac:dyDescent="0.25">
      <c r="A12" s="37" t="s">
        <v>107</v>
      </c>
      <c r="B12" s="39">
        <v>407733220</v>
      </c>
      <c r="C12" s="39">
        <v>678367474</v>
      </c>
      <c r="D12" s="39">
        <v>633282093</v>
      </c>
      <c r="E12" s="39">
        <v>1719382787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1FC44-9E8A-43E5-89AB-97D3BB37290D}">
  <dimension ref="A3:B24"/>
  <sheetViews>
    <sheetView workbookViewId="0">
      <selection activeCell="A4" sqref="A4"/>
    </sheetView>
  </sheetViews>
  <sheetFormatPr defaultRowHeight="13.2" x14ac:dyDescent="0.25"/>
  <cols>
    <col min="1" max="1" width="17.6640625" bestFit="1" customWidth="1"/>
    <col min="2" max="2" width="22.77734375" bestFit="1" customWidth="1"/>
  </cols>
  <sheetData>
    <row r="3" spans="1:2" x14ac:dyDescent="0.25">
      <c r="A3" s="36" t="s">
        <v>106</v>
      </c>
      <c r="B3" t="s">
        <v>108</v>
      </c>
    </row>
    <row r="4" spans="1:2" x14ac:dyDescent="0.25">
      <c r="A4" s="37" t="s">
        <v>110</v>
      </c>
      <c r="B4" s="39">
        <v>383186316</v>
      </c>
    </row>
    <row r="5" spans="1:2" x14ac:dyDescent="0.25">
      <c r="A5" s="38" t="s">
        <v>115</v>
      </c>
      <c r="B5" s="39">
        <v>119714751</v>
      </c>
    </row>
    <row r="6" spans="1:2" x14ac:dyDescent="0.25">
      <c r="A6" s="38" t="s">
        <v>116</v>
      </c>
      <c r="B6" s="39">
        <v>126556955</v>
      </c>
    </row>
    <row r="7" spans="1:2" x14ac:dyDescent="0.25">
      <c r="A7" s="38" t="s">
        <v>117</v>
      </c>
      <c r="B7" s="39">
        <v>136914610</v>
      </c>
    </row>
    <row r="8" spans="1:2" x14ac:dyDescent="0.25">
      <c r="A8" s="37" t="s">
        <v>111</v>
      </c>
      <c r="B8" s="39">
        <v>343345243</v>
      </c>
    </row>
    <row r="9" spans="1:2" x14ac:dyDescent="0.25">
      <c r="A9" s="38" t="s">
        <v>115</v>
      </c>
      <c r="B9" s="39">
        <v>109975230</v>
      </c>
    </row>
    <row r="10" spans="1:2" x14ac:dyDescent="0.25">
      <c r="A10" s="38" t="s">
        <v>116</v>
      </c>
      <c r="B10" s="39">
        <v>129043537</v>
      </c>
    </row>
    <row r="11" spans="1:2" x14ac:dyDescent="0.25">
      <c r="A11" s="38" t="s">
        <v>117</v>
      </c>
      <c r="B11" s="39">
        <v>104326476</v>
      </c>
    </row>
    <row r="12" spans="1:2" x14ac:dyDescent="0.25">
      <c r="A12" s="37" t="s">
        <v>112</v>
      </c>
      <c r="B12" s="39">
        <v>313989129</v>
      </c>
    </row>
    <row r="13" spans="1:2" x14ac:dyDescent="0.25">
      <c r="A13" s="38" t="s">
        <v>115</v>
      </c>
      <c r="B13" s="39">
        <v>154834762</v>
      </c>
    </row>
    <row r="14" spans="1:2" x14ac:dyDescent="0.25">
      <c r="A14" s="38" t="s">
        <v>116</v>
      </c>
      <c r="B14" s="39">
        <v>85949144</v>
      </c>
    </row>
    <row r="15" spans="1:2" x14ac:dyDescent="0.25">
      <c r="A15" s="38" t="s">
        <v>117</v>
      </c>
      <c r="B15" s="39">
        <v>73205223</v>
      </c>
    </row>
    <row r="16" spans="1:2" x14ac:dyDescent="0.25">
      <c r="A16" s="37" t="s">
        <v>113</v>
      </c>
      <c r="B16" s="39">
        <v>332856558</v>
      </c>
    </row>
    <row r="17" spans="1:2" x14ac:dyDescent="0.25">
      <c r="A17" s="38" t="s">
        <v>115</v>
      </c>
      <c r="B17" s="39">
        <v>126994530</v>
      </c>
    </row>
    <row r="18" spans="1:2" x14ac:dyDescent="0.25">
      <c r="A18" s="38" t="s">
        <v>116</v>
      </c>
      <c r="B18" s="39">
        <v>99575773</v>
      </c>
    </row>
    <row r="19" spans="1:2" x14ac:dyDescent="0.25">
      <c r="A19" s="38" t="s">
        <v>117</v>
      </c>
      <c r="B19" s="39">
        <v>106286255</v>
      </c>
    </row>
    <row r="20" spans="1:2" x14ac:dyDescent="0.25">
      <c r="A20" s="37" t="s">
        <v>114</v>
      </c>
      <c r="B20" s="39">
        <v>346005541</v>
      </c>
    </row>
    <row r="21" spans="1:2" x14ac:dyDescent="0.25">
      <c r="A21" s="38" t="s">
        <v>115</v>
      </c>
      <c r="B21" s="39">
        <v>183698244</v>
      </c>
    </row>
    <row r="22" spans="1:2" x14ac:dyDescent="0.25">
      <c r="A22" s="38" t="s">
        <v>116</v>
      </c>
      <c r="B22" s="39">
        <v>71267356</v>
      </c>
    </row>
    <row r="23" spans="1:2" x14ac:dyDescent="0.25">
      <c r="A23" s="38" t="s">
        <v>117</v>
      </c>
      <c r="B23" s="39">
        <v>91039941</v>
      </c>
    </row>
    <row r="24" spans="1:2" x14ac:dyDescent="0.25">
      <c r="A24" s="37" t="s">
        <v>107</v>
      </c>
      <c r="B24" s="39">
        <v>1719382787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335"/>
  <sheetViews>
    <sheetView workbookViewId="0">
      <pane ySplit="2" topLeftCell="A3" activePane="bottomLeft" state="frozen"/>
      <selection pane="bottomLeft" activeCell="H19" sqref="H19"/>
    </sheetView>
  </sheetViews>
  <sheetFormatPr defaultColWidth="9.109375" defaultRowHeight="13.2" x14ac:dyDescent="0.25"/>
  <cols>
    <col min="1" max="1" width="7.5546875" style="1" bestFit="1" customWidth="1"/>
    <col min="2" max="2" width="16" style="1" bestFit="1" customWidth="1"/>
    <col min="3" max="3" width="22" style="1" bestFit="1" customWidth="1"/>
    <col min="4" max="4" width="14.5546875" style="1" customWidth="1"/>
    <col min="5" max="5" width="11.88671875" style="1" bestFit="1" customWidth="1"/>
    <col min="6" max="6" width="11.88671875" style="10" bestFit="1" customWidth="1"/>
    <col min="7" max="7" width="15.5546875" style="10" bestFit="1" customWidth="1"/>
    <col min="8" max="8" width="11.6640625" style="1" bestFit="1" customWidth="1"/>
    <col min="9" max="9" width="36.33203125" style="1" bestFit="1" customWidth="1"/>
    <col min="10" max="10" width="26.5546875" style="1" bestFit="1" customWidth="1"/>
    <col min="11" max="11" width="20.21875" style="41" customWidth="1"/>
    <col min="12" max="12" width="10.109375" style="1" bestFit="1" customWidth="1"/>
    <col min="13" max="16384" width="9.109375" style="1"/>
  </cols>
  <sheetData>
    <row r="1" spans="1:12" x14ac:dyDescent="0.25">
      <c r="A1" s="55" t="s">
        <v>36</v>
      </c>
      <c r="B1" s="55"/>
      <c r="C1" s="55"/>
      <c r="D1" s="55"/>
      <c r="E1" s="55"/>
      <c r="F1" s="55"/>
      <c r="G1" s="55"/>
      <c r="H1" s="55"/>
      <c r="I1" s="55"/>
      <c r="J1" s="55"/>
      <c r="K1" s="55"/>
    </row>
    <row r="2" spans="1:12" x14ac:dyDescent="0.25">
      <c r="A2" s="45" t="s">
        <v>0</v>
      </c>
      <c r="B2" s="46" t="s">
        <v>1</v>
      </c>
      <c r="C2" s="46" t="s">
        <v>2</v>
      </c>
      <c r="D2" s="46" t="s">
        <v>39</v>
      </c>
      <c r="E2" s="46" t="s">
        <v>3</v>
      </c>
      <c r="F2" s="47" t="s">
        <v>4</v>
      </c>
      <c r="G2" s="47" t="s">
        <v>5</v>
      </c>
      <c r="H2" s="46" t="s">
        <v>9</v>
      </c>
      <c r="I2" s="46" t="s">
        <v>43</v>
      </c>
      <c r="J2" s="46" t="s">
        <v>44</v>
      </c>
      <c r="K2" s="48" t="s">
        <v>40</v>
      </c>
    </row>
    <row r="3" spans="1:12" x14ac:dyDescent="0.25">
      <c r="A3" s="43">
        <v>1</v>
      </c>
      <c r="B3" s="3">
        <v>6</v>
      </c>
      <c r="C3" s="2" t="str">
        <f>VLOOKUP('БАЗА (1)'!B3,'Справочник (2-3)'!$A$3:$B$9,2,FALSE)</f>
        <v>Харьков</v>
      </c>
      <c r="D3" s="40">
        <v>42304</v>
      </c>
      <c r="E3" s="2">
        <v>22</v>
      </c>
      <c r="F3" s="9">
        <v>59432</v>
      </c>
      <c r="G3" s="9">
        <f>E3*F3</f>
        <v>1307504</v>
      </c>
      <c r="H3" s="2" t="str" cm="1">
        <f t="array" ref="H3">_xlfn.IFS('БАЗА (1)'!G3&gt;10000000,'Справочник (2-3)'!$G$5,AND('БАЗА (1)'!G3&lt;=10000000,'БАЗА (1)'!G3&gt;=5000000),'Справочник (2-3)'!$G$4,'БАЗА (1)'!G3&lt;5000000,'Справочник (2-3)'!$G$3)</f>
        <v>C</v>
      </c>
      <c r="I3" s="2" t="s">
        <v>87</v>
      </c>
      <c r="J3" s="2" t="str">
        <f>LEFT(I3,FIND(" ",I3)-1)&amp;" "&amp;LEFT(MID(I3,FIND(" ",I3)+1,LEN(I3)),1)&amp;". "&amp;LEFT(MID(I3,FIND(" ",I3,FIND(" ",I3)+1)+1,LEN(I3)),1)&amp;"."</f>
        <v>Олифер Е. Р.</v>
      </c>
      <c r="K3" s="44">
        <v>42304</v>
      </c>
      <c r="L3" s="42"/>
    </row>
    <row r="4" spans="1:12" x14ac:dyDescent="0.25">
      <c r="A4" s="43">
        <v>2</v>
      </c>
      <c r="B4" s="3">
        <v>1</v>
      </c>
      <c r="C4" s="2" t="str">
        <f>VLOOKUP('БАЗА (1)'!B4,'Справочник (2-3)'!$A$3:$B$9,2,FALSE)</f>
        <v>Москва</v>
      </c>
      <c r="D4" s="40">
        <v>41631</v>
      </c>
      <c r="E4" s="2">
        <v>197</v>
      </c>
      <c r="F4" s="9">
        <v>30235</v>
      </c>
      <c r="G4" s="9">
        <f t="shared" ref="G4:G67" si="0">E4*F4</f>
        <v>5956295</v>
      </c>
      <c r="H4" s="2" t="str" cm="1">
        <f t="array" ref="H4">_xlfn.IFS('БАЗА (1)'!G4&gt;10000000,'Справочник (2-3)'!$G$5,AND('БАЗА (1)'!G4&lt;=10000000,'БАЗА (1)'!G4&gt;=5000000),'Справочник (2-3)'!$G$4,'БАЗА (1)'!G4&lt;5000000,'Справочник (2-3)'!$G$3)</f>
        <v>B</v>
      </c>
      <c r="I4" s="2" t="s">
        <v>57</v>
      </c>
      <c r="J4" s="2" t="str">
        <f t="shared" ref="J4:J67" si="1">LEFT(I4,FIND(" ",I4)-1)&amp;" "&amp;LEFT(MID(I4,FIND(" ",I4)+1,LEN(I4)),1)&amp;". "&amp;LEFT(MID(I4,FIND(" ",I4,FIND(" ",I4)+1)+1,LEN(I4)),1)&amp;"."</f>
        <v>Гудошников А. В.</v>
      </c>
      <c r="K4" s="44">
        <v>41631</v>
      </c>
    </row>
    <row r="5" spans="1:12" x14ac:dyDescent="0.25">
      <c r="A5" s="43">
        <v>3</v>
      </c>
      <c r="B5" s="3">
        <v>6</v>
      </c>
      <c r="C5" s="2" t="str">
        <f>VLOOKUP('БАЗА (1)'!B5,'Справочник (2-3)'!$A$3:$B$9,2,FALSE)</f>
        <v>Харьков</v>
      </c>
      <c r="D5" s="40">
        <v>42719</v>
      </c>
      <c r="E5" s="2">
        <v>186</v>
      </c>
      <c r="F5" s="9">
        <v>29755</v>
      </c>
      <c r="G5" s="9">
        <f t="shared" si="0"/>
        <v>5534430</v>
      </c>
      <c r="H5" s="2" t="str" cm="1">
        <f t="array" ref="H5">_xlfn.IFS('БАЗА (1)'!G5&gt;10000000,'Справочник (2-3)'!$G$5,AND('БАЗА (1)'!G5&lt;=10000000,'БАЗА (1)'!G5&gt;=5000000),'Справочник (2-3)'!$G$4,'БАЗА (1)'!G5&lt;5000000,'Справочник (2-3)'!$G$3)</f>
        <v>B</v>
      </c>
      <c r="I5" s="2" t="s">
        <v>70</v>
      </c>
      <c r="J5" s="2" t="str">
        <f t="shared" si="1"/>
        <v>Каячева М. В.</v>
      </c>
      <c r="K5" s="44">
        <v>42719</v>
      </c>
    </row>
    <row r="6" spans="1:12" x14ac:dyDescent="0.25">
      <c r="A6" s="43">
        <v>4</v>
      </c>
      <c r="B6" s="3">
        <v>7</v>
      </c>
      <c r="C6" s="2" t="str">
        <f>VLOOKUP('БАЗА (1)'!B6,'Справочник (2-3)'!$A$3:$B$9,2,FALSE)</f>
        <v>Йошкар-Ола</v>
      </c>
      <c r="D6" s="40">
        <v>42299</v>
      </c>
      <c r="E6" s="2">
        <v>50</v>
      </c>
      <c r="F6" s="9">
        <v>79752</v>
      </c>
      <c r="G6" s="9">
        <f t="shared" si="0"/>
        <v>3987600</v>
      </c>
      <c r="H6" s="2" t="str" cm="1">
        <f t="array" ref="H6">_xlfn.IFS('БАЗА (1)'!G6&gt;10000000,'Справочник (2-3)'!$G$5,AND('БАЗА (1)'!G6&lt;=10000000,'БАЗА (1)'!G6&gt;=5000000),'Справочник (2-3)'!$G$4,'БАЗА (1)'!G6&lt;5000000,'Справочник (2-3)'!$G$3)</f>
        <v>C</v>
      </c>
      <c r="I6" s="2" t="s">
        <v>95</v>
      </c>
      <c r="J6" s="2" t="str">
        <f t="shared" si="1"/>
        <v>Пиканов В. П.</v>
      </c>
      <c r="K6" s="44">
        <v>42299</v>
      </c>
    </row>
    <row r="7" spans="1:12" x14ac:dyDescent="0.25">
      <c r="A7" s="43">
        <v>5</v>
      </c>
      <c r="B7" s="3">
        <v>2</v>
      </c>
      <c r="C7" s="2" t="str">
        <f>VLOOKUP('БАЗА (1)'!B7,'Справочник (2-3)'!$A$3:$B$9,2,FALSE)</f>
        <v>Санкт-Петербург</v>
      </c>
      <c r="D7" s="40">
        <v>41561</v>
      </c>
      <c r="E7" s="2">
        <v>76</v>
      </c>
      <c r="F7" s="9">
        <v>85545</v>
      </c>
      <c r="G7" s="9">
        <f t="shared" si="0"/>
        <v>6501420</v>
      </c>
      <c r="H7" s="2" t="str" cm="1">
        <f t="array" ref="H7">_xlfn.IFS('БАЗА (1)'!G7&gt;10000000,'Справочник (2-3)'!$G$5,AND('БАЗА (1)'!G7&lt;=10000000,'БАЗА (1)'!G7&gt;=5000000),'Справочник (2-3)'!$G$4,'БАЗА (1)'!G7&lt;5000000,'Справочник (2-3)'!$G$3)</f>
        <v>B</v>
      </c>
      <c r="I7" s="2" t="s">
        <v>51</v>
      </c>
      <c r="J7" s="2" t="str">
        <f t="shared" si="1"/>
        <v>Васнин В. В.</v>
      </c>
      <c r="K7" s="44">
        <v>41561</v>
      </c>
    </row>
    <row r="8" spans="1:12" x14ac:dyDescent="0.25">
      <c r="A8" s="43">
        <v>6</v>
      </c>
      <c r="B8" s="3">
        <v>1</v>
      </c>
      <c r="C8" s="2" t="str">
        <f>VLOOKUP('БАЗА (1)'!B8,'Справочник (2-3)'!$A$3:$B$9,2,FALSE)</f>
        <v>Москва</v>
      </c>
      <c r="D8" s="40">
        <v>41928</v>
      </c>
      <c r="E8" s="2">
        <v>190</v>
      </c>
      <c r="F8" s="9">
        <v>87135</v>
      </c>
      <c r="G8" s="9">
        <f t="shared" si="0"/>
        <v>16555650</v>
      </c>
      <c r="H8" s="2" t="str" cm="1">
        <f t="array" ref="H8">_xlfn.IFS('БАЗА (1)'!G8&gt;10000000,'Справочник (2-3)'!$G$5,AND('БАЗА (1)'!G8&lt;=10000000,'БАЗА (1)'!G8&gt;=5000000),'Справочник (2-3)'!$G$4,'БАЗА (1)'!G8&lt;5000000,'Справочник (2-3)'!$G$3)</f>
        <v>A</v>
      </c>
      <c r="I8" s="2" t="s">
        <v>64</v>
      </c>
      <c r="J8" s="2" t="str">
        <f t="shared" si="1"/>
        <v>Иванов В. Г.</v>
      </c>
      <c r="K8" s="44">
        <v>41928</v>
      </c>
    </row>
    <row r="9" spans="1:12" x14ac:dyDescent="0.25">
      <c r="A9" s="43">
        <v>7</v>
      </c>
      <c r="B9" s="3">
        <v>4</v>
      </c>
      <c r="C9" s="2" t="str">
        <f>VLOOKUP('БАЗА (1)'!B9,'Справочник (2-3)'!$A$3:$B$9,2,FALSE)</f>
        <v>Казань</v>
      </c>
      <c r="D9" s="40">
        <v>42658</v>
      </c>
      <c r="E9" s="2">
        <v>126</v>
      </c>
      <c r="F9" s="9">
        <v>76019</v>
      </c>
      <c r="G9" s="9">
        <f t="shared" si="0"/>
        <v>9578394</v>
      </c>
      <c r="H9" s="2" t="str" cm="1">
        <f t="array" ref="H9">_xlfn.IFS('БАЗА (1)'!G9&gt;10000000,'Справочник (2-3)'!$G$5,AND('БАЗА (1)'!G9&lt;=10000000,'БАЗА (1)'!G9&gt;=5000000),'Справочник (2-3)'!$G$4,'БАЗА (1)'!G9&lt;5000000,'Справочник (2-3)'!$G$3)</f>
        <v>B</v>
      </c>
      <c r="I9" s="2" t="s">
        <v>67</v>
      </c>
      <c r="J9" s="2" t="str">
        <f t="shared" si="1"/>
        <v>Исцелемова С. А.</v>
      </c>
      <c r="K9" s="44">
        <v>42658</v>
      </c>
    </row>
    <row r="10" spans="1:12" x14ac:dyDescent="0.25">
      <c r="A10" s="43">
        <v>8</v>
      </c>
      <c r="B10" s="3">
        <v>5</v>
      </c>
      <c r="C10" s="2" t="str">
        <f>VLOOKUP('БАЗА (1)'!B10,'Справочник (2-3)'!$A$3:$B$9,2,FALSE)</f>
        <v>Омск</v>
      </c>
      <c r="D10" s="40">
        <v>41628</v>
      </c>
      <c r="E10" s="2">
        <v>186</v>
      </c>
      <c r="F10" s="9">
        <v>96610</v>
      </c>
      <c r="G10" s="9">
        <f t="shared" si="0"/>
        <v>17969460</v>
      </c>
      <c r="H10" s="2" t="str" cm="1">
        <f t="array" ref="H10">_xlfn.IFS('БАЗА (1)'!G10&gt;10000000,'Справочник (2-3)'!$G$5,AND('БАЗА (1)'!G10&lt;=10000000,'БАЗА (1)'!G10&gt;=5000000),'Справочник (2-3)'!$G$4,'БАЗА (1)'!G10&lt;5000000,'Справочник (2-3)'!$G$3)</f>
        <v>A</v>
      </c>
      <c r="I10" s="2" t="s">
        <v>98</v>
      </c>
      <c r="J10" s="2" t="str">
        <f t="shared" si="1"/>
        <v>Попова А. А.</v>
      </c>
      <c r="K10" s="44">
        <v>41628</v>
      </c>
    </row>
    <row r="11" spans="1:12" x14ac:dyDescent="0.25">
      <c r="A11" s="43">
        <v>9</v>
      </c>
      <c r="B11" s="3">
        <v>3</v>
      </c>
      <c r="C11" s="2" t="str">
        <f>VLOOKUP('БАЗА (1)'!B11,'Справочник (2-3)'!$A$3:$B$9,2,FALSE)</f>
        <v>Челябинск</v>
      </c>
      <c r="D11" s="40">
        <v>43024</v>
      </c>
      <c r="E11" s="2">
        <v>139</v>
      </c>
      <c r="F11" s="9">
        <v>66796</v>
      </c>
      <c r="G11" s="9">
        <f t="shared" si="0"/>
        <v>9284644</v>
      </c>
      <c r="H11" s="2" t="str" cm="1">
        <f t="array" ref="H11">_xlfn.IFS('БАЗА (1)'!G11&gt;10000000,'Справочник (2-3)'!$G$5,AND('БАЗА (1)'!G11&lt;=10000000,'БАЗА (1)'!G11&gt;=5000000),'Справочник (2-3)'!$G$4,'БАЗА (1)'!G11&lt;5000000,'Справочник (2-3)'!$G$3)</f>
        <v>B</v>
      </c>
      <c r="I11" s="2" t="s">
        <v>76</v>
      </c>
      <c r="J11" s="2" t="str">
        <f t="shared" si="1"/>
        <v>Лакеенков Д. В.</v>
      </c>
      <c r="K11" s="44">
        <v>43024</v>
      </c>
    </row>
    <row r="12" spans="1:12" x14ac:dyDescent="0.25">
      <c r="A12" s="43">
        <v>10</v>
      </c>
      <c r="B12" s="3">
        <v>5</v>
      </c>
      <c r="C12" s="2" t="str">
        <f>VLOOKUP('БАЗА (1)'!B12,'Справочник (2-3)'!$A$3:$B$9,2,FALSE)</f>
        <v>Омск</v>
      </c>
      <c r="D12" s="40">
        <v>41992</v>
      </c>
      <c r="E12" s="2">
        <v>34</v>
      </c>
      <c r="F12" s="9">
        <v>51879</v>
      </c>
      <c r="G12" s="9">
        <f t="shared" si="0"/>
        <v>1763886</v>
      </c>
      <c r="H12" s="2" t="str" cm="1">
        <f t="array" ref="H12">_xlfn.IFS('БАЗА (1)'!G12&gt;10000000,'Справочник (2-3)'!$G$5,AND('БАЗА (1)'!G12&lt;=10000000,'БАЗА (1)'!G12&gt;=5000000),'Справочник (2-3)'!$G$4,'БАЗА (1)'!G12&lt;5000000,'Справочник (2-3)'!$G$3)</f>
        <v>C</v>
      </c>
      <c r="I12" s="2" t="s">
        <v>95</v>
      </c>
      <c r="J12" s="2" t="str">
        <f t="shared" si="1"/>
        <v>Пиканов В. П.</v>
      </c>
      <c r="K12" s="44">
        <v>41992</v>
      </c>
    </row>
    <row r="13" spans="1:12" x14ac:dyDescent="0.25">
      <c r="A13" s="43">
        <v>11</v>
      </c>
      <c r="B13" s="3">
        <v>1</v>
      </c>
      <c r="C13" s="2" t="str">
        <f>VLOOKUP('БАЗА (1)'!B13,'Справочник (2-3)'!$A$3:$B$9,2,FALSE)</f>
        <v>Москва</v>
      </c>
      <c r="D13" s="40">
        <v>41604</v>
      </c>
      <c r="E13" s="2">
        <v>94</v>
      </c>
      <c r="F13" s="9">
        <v>23469</v>
      </c>
      <c r="G13" s="9">
        <f t="shared" si="0"/>
        <v>2206086</v>
      </c>
      <c r="H13" s="2" t="str" cm="1">
        <f t="array" ref="H13">_xlfn.IFS('БАЗА (1)'!G13&gt;10000000,'Справочник (2-3)'!$G$5,AND('БАЗА (1)'!G13&lt;=10000000,'БАЗА (1)'!G13&gt;=5000000),'Справочник (2-3)'!$G$4,'БАЗА (1)'!G13&lt;5000000,'Справочник (2-3)'!$G$3)</f>
        <v>C</v>
      </c>
      <c r="I13" s="2" t="s">
        <v>80</v>
      </c>
      <c r="J13" s="2" t="str">
        <f t="shared" si="1"/>
        <v>Макарова Н. Я.</v>
      </c>
      <c r="K13" s="44">
        <v>41604</v>
      </c>
    </row>
    <row r="14" spans="1:12" x14ac:dyDescent="0.25">
      <c r="A14" s="43">
        <v>12</v>
      </c>
      <c r="B14" s="3">
        <v>7</v>
      </c>
      <c r="C14" s="2" t="str">
        <f>VLOOKUP('БАЗА (1)'!B14,'Справочник (2-3)'!$A$3:$B$9,2,FALSE)</f>
        <v>Йошкар-Ола</v>
      </c>
      <c r="D14" s="40">
        <v>42659</v>
      </c>
      <c r="E14" s="2">
        <v>82</v>
      </c>
      <c r="F14" s="9">
        <v>61458</v>
      </c>
      <c r="G14" s="9">
        <f t="shared" si="0"/>
        <v>5039556</v>
      </c>
      <c r="H14" s="2" t="str" cm="1">
        <f t="array" ref="H14">_xlfn.IFS('БАЗА (1)'!G14&gt;10000000,'Справочник (2-3)'!$G$5,AND('БАЗА (1)'!G14&lt;=10000000,'БАЗА (1)'!G14&gt;=5000000),'Справочник (2-3)'!$G$4,'БАЗА (1)'!G14&lt;5000000,'Справочник (2-3)'!$G$3)</f>
        <v>B</v>
      </c>
      <c r="I14" s="2" t="s">
        <v>85</v>
      </c>
      <c r="J14" s="2" t="str">
        <f t="shared" si="1"/>
        <v>Минина Т. В.</v>
      </c>
      <c r="K14" s="44">
        <v>42659</v>
      </c>
    </row>
    <row r="15" spans="1:12" x14ac:dyDescent="0.25">
      <c r="A15" s="43">
        <v>13</v>
      </c>
      <c r="B15" s="3">
        <v>2</v>
      </c>
      <c r="C15" s="2" t="str">
        <f>VLOOKUP('БАЗА (1)'!B15,'Справочник (2-3)'!$A$3:$B$9,2,FALSE)</f>
        <v>Санкт-Петербург</v>
      </c>
      <c r="D15" s="40">
        <v>43018</v>
      </c>
      <c r="E15" s="2">
        <v>164</v>
      </c>
      <c r="F15" s="9">
        <v>16045</v>
      </c>
      <c r="G15" s="9">
        <f t="shared" si="0"/>
        <v>2631380</v>
      </c>
      <c r="H15" s="2" t="str" cm="1">
        <f t="array" ref="H15">_xlfn.IFS('БАЗА (1)'!G15&gt;10000000,'Справочник (2-3)'!$G$5,AND('БАЗА (1)'!G15&lt;=10000000,'БАЗА (1)'!G15&gt;=5000000),'Справочник (2-3)'!$G$4,'БАЗА (1)'!G15&lt;5000000,'Справочник (2-3)'!$G$3)</f>
        <v>C</v>
      </c>
      <c r="I15" s="2" t="s">
        <v>60</v>
      </c>
      <c r="J15" s="2" t="str">
        <f t="shared" si="1"/>
        <v>Дружинин А. В.</v>
      </c>
      <c r="K15" s="44">
        <v>43018</v>
      </c>
    </row>
    <row r="16" spans="1:12" x14ac:dyDescent="0.25">
      <c r="A16" s="43">
        <v>14</v>
      </c>
      <c r="B16" s="3">
        <v>1</v>
      </c>
      <c r="C16" s="2" t="str">
        <f>VLOOKUP('БАЗА (1)'!B16,'Справочник (2-3)'!$A$3:$B$9,2,FALSE)</f>
        <v>Москва</v>
      </c>
      <c r="D16" s="40">
        <v>42303</v>
      </c>
      <c r="E16" s="2">
        <v>6</v>
      </c>
      <c r="F16" s="9">
        <v>70254</v>
      </c>
      <c r="G16" s="9">
        <f t="shared" si="0"/>
        <v>421524</v>
      </c>
      <c r="H16" s="2" t="str" cm="1">
        <f t="array" ref="H16">_xlfn.IFS('БАЗА (1)'!G16&gt;10000000,'Справочник (2-3)'!$G$5,AND('БАЗА (1)'!G16&lt;=10000000,'БАЗА (1)'!G16&gt;=5000000),'Справочник (2-3)'!$G$4,'БАЗА (1)'!G16&lt;5000000,'Справочник (2-3)'!$G$3)</f>
        <v>C</v>
      </c>
      <c r="I16" s="2" t="s">
        <v>73</v>
      </c>
      <c r="J16" s="2" t="str">
        <f t="shared" si="1"/>
        <v>Королев А. М.</v>
      </c>
      <c r="K16" s="44">
        <v>42303</v>
      </c>
    </row>
    <row r="17" spans="1:11" x14ac:dyDescent="0.25">
      <c r="A17" s="43">
        <v>15</v>
      </c>
      <c r="B17" s="3">
        <v>7</v>
      </c>
      <c r="C17" s="2" t="str">
        <f>VLOOKUP('БАЗА (1)'!B17,'Справочник (2-3)'!$A$3:$B$9,2,FALSE)</f>
        <v>Йошкар-Ола</v>
      </c>
      <c r="D17" s="40">
        <v>41619</v>
      </c>
      <c r="E17" s="2">
        <v>118</v>
      </c>
      <c r="F17" s="9">
        <v>22242</v>
      </c>
      <c r="G17" s="9">
        <f t="shared" si="0"/>
        <v>2624556</v>
      </c>
      <c r="H17" s="2" t="str" cm="1">
        <f t="array" ref="H17">_xlfn.IFS('БАЗА (1)'!G17&gt;10000000,'Справочник (2-3)'!$G$5,AND('БАЗА (1)'!G17&lt;=10000000,'БАЗА (1)'!G17&gt;=5000000),'Справочник (2-3)'!$G$4,'БАЗА (1)'!G17&lt;5000000,'Справочник (2-3)'!$G$3)</f>
        <v>C</v>
      </c>
      <c r="I17" s="2" t="s">
        <v>77</v>
      </c>
      <c r="J17" s="2" t="str">
        <f t="shared" si="1"/>
        <v>Лоскутова М. В.</v>
      </c>
      <c r="K17" s="44">
        <v>41619</v>
      </c>
    </row>
    <row r="18" spans="1:11" x14ac:dyDescent="0.25">
      <c r="A18" s="43">
        <v>16</v>
      </c>
      <c r="B18" s="3">
        <v>3</v>
      </c>
      <c r="C18" s="2" t="str">
        <f>VLOOKUP('БАЗА (1)'!B18,'Справочник (2-3)'!$A$3:$B$9,2,FALSE)</f>
        <v>Челябинск</v>
      </c>
      <c r="D18" s="40">
        <v>41963</v>
      </c>
      <c r="E18" s="2">
        <v>133</v>
      </c>
      <c r="F18" s="9">
        <v>58595</v>
      </c>
      <c r="G18" s="9">
        <f t="shared" si="0"/>
        <v>7793135</v>
      </c>
      <c r="H18" s="2" t="str" cm="1">
        <f t="array" ref="H18">_xlfn.IFS('БАЗА (1)'!G18&gt;10000000,'Справочник (2-3)'!$G$5,AND('БАЗА (1)'!G18&lt;=10000000,'БАЗА (1)'!G18&gt;=5000000),'Справочник (2-3)'!$G$4,'БАЗА (1)'!G18&lt;5000000,'Справочник (2-3)'!$G$3)</f>
        <v>B</v>
      </c>
      <c r="I18" s="2" t="s">
        <v>98</v>
      </c>
      <c r="J18" s="2" t="str">
        <f t="shared" si="1"/>
        <v>Попова А. А.</v>
      </c>
      <c r="K18" s="44">
        <v>41963</v>
      </c>
    </row>
    <row r="19" spans="1:11" x14ac:dyDescent="0.25">
      <c r="A19" s="43">
        <v>17</v>
      </c>
      <c r="B19" s="3">
        <v>4</v>
      </c>
      <c r="C19" s="2" t="str">
        <f>VLOOKUP('БАЗА (1)'!B19,'Справочник (2-3)'!$A$3:$B$9,2,FALSE)</f>
        <v>Казань</v>
      </c>
      <c r="D19" s="40">
        <v>43059</v>
      </c>
      <c r="E19" s="2">
        <v>191</v>
      </c>
      <c r="F19" s="9">
        <v>80676</v>
      </c>
      <c r="G19" s="9">
        <f t="shared" si="0"/>
        <v>15409116</v>
      </c>
      <c r="H19" s="2" t="str" cm="1">
        <f t="array" ref="H19">_xlfn.IFS('БАЗА (1)'!G19&gt;10000000,'Справочник (2-3)'!$G$5,AND('БАЗА (1)'!G19&lt;=10000000,'БАЗА (1)'!G19&gt;=5000000),'Справочник (2-3)'!$G$4,'БАЗА (1)'!G19&lt;5000000,'Справочник (2-3)'!$G$3)</f>
        <v>A</v>
      </c>
      <c r="I19" s="2" t="s">
        <v>70</v>
      </c>
      <c r="J19" s="2" t="str">
        <f t="shared" si="1"/>
        <v>Каячева М. В.</v>
      </c>
      <c r="K19" s="44">
        <v>43059</v>
      </c>
    </row>
    <row r="20" spans="1:11" x14ac:dyDescent="0.25">
      <c r="A20" s="43">
        <v>18</v>
      </c>
      <c r="B20" s="3">
        <v>4</v>
      </c>
      <c r="C20" s="2" t="str">
        <f>VLOOKUP('БАЗА (1)'!B20,'Справочник (2-3)'!$A$3:$B$9,2,FALSE)</f>
        <v>Казань</v>
      </c>
      <c r="D20" s="40">
        <v>43082</v>
      </c>
      <c r="E20" s="2">
        <v>166</v>
      </c>
      <c r="F20" s="9">
        <v>12316</v>
      </c>
      <c r="G20" s="9">
        <f t="shared" si="0"/>
        <v>2044456</v>
      </c>
      <c r="H20" s="2" t="str" cm="1">
        <f t="array" ref="H20">_xlfn.IFS('БАЗА (1)'!G20&gt;10000000,'Справочник (2-3)'!$G$5,AND('БАЗА (1)'!G20&lt;=10000000,'БАЗА (1)'!G20&gt;=5000000),'Справочник (2-3)'!$G$4,'БАЗА (1)'!G20&lt;5000000,'Справочник (2-3)'!$G$3)</f>
        <v>C</v>
      </c>
      <c r="I20" s="2" t="s">
        <v>72</v>
      </c>
      <c r="J20" s="2" t="str">
        <f t="shared" si="1"/>
        <v>Коновалов П. И.</v>
      </c>
      <c r="K20" s="44">
        <v>43082</v>
      </c>
    </row>
    <row r="21" spans="1:11" x14ac:dyDescent="0.25">
      <c r="A21" s="43">
        <v>19</v>
      </c>
      <c r="B21" s="3">
        <v>1</v>
      </c>
      <c r="C21" s="2" t="str">
        <f>VLOOKUP('БАЗА (1)'!B21,'Справочник (2-3)'!$A$3:$B$9,2,FALSE)</f>
        <v>Москва</v>
      </c>
      <c r="D21" s="40">
        <v>41963</v>
      </c>
      <c r="E21" s="2">
        <v>108</v>
      </c>
      <c r="F21" s="9">
        <v>6913</v>
      </c>
      <c r="G21" s="9">
        <f t="shared" si="0"/>
        <v>746604</v>
      </c>
      <c r="H21" s="2" t="str" cm="1">
        <f t="array" ref="H21">_xlfn.IFS('БАЗА (1)'!G21&gt;10000000,'Справочник (2-3)'!$G$5,AND('БАЗА (1)'!G21&lt;=10000000,'БАЗА (1)'!G21&gt;=5000000),'Справочник (2-3)'!$G$4,'БАЗА (1)'!G21&lt;5000000,'Справочник (2-3)'!$G$3)</f>
        <v>C</v>
      </c>
      <c r="I21" s="2" t="s">
        <v>47</v>
      </c>
      <c r="J21" s="2" t="str">
        <f t="shared" si="1"/>
        <v>Байбикова Н. М.</v>
      </c>
      <c r="K21" s="44">
        <v>41963</v>
      </c>
    </row>
    <row r="22" spans="1:11" x14ac:dyDescent="0.25">
      <c r="A22" s="43">
        <v>20</v>
      </c>
      <c r="B22" s="3">
        <v>4</v>
      </c>
      <c r="C22" s="2" t="str">
        <f>VLOOKUP('БАЗА (1)'!B22,'Справочник (2-3)'!$A$3:$B$9,2,FALSE)</f>
        <v>Казань</v>
      </c>
      <c r="D22" s="40">
        <v>41964</v>
      </c>
      <c r="E22" s="2">
        <v>44</v>
      </c>
      <c r="F22" s="9">
        <v>8031</v>
      </c>
      <c r="G22" s="9">
        <f t="shared" si="0"/>
        <v>353364</v>
      </c>
      <c r="H22" s="2" t="str" cm="1">
        <f t="array" ref="H22">_xlfn.IFS('БАЗА (1)'!G22&gt;10000000,'Справочник (2-3)'!$G$5,AND('БАЗА (1)'!G22&lt;=10000000,'БАЗА (1)'!G22&gt;=5000000),'Справочник (2-3)'!$G$4,'БАЗА (1)'!G22&lt;5000000,'Справочник (2-3)'!$G$3)</f>
        <v>C</v>
      </c>
      <c r="I22" s="2" t="s">
        <v>45</v>
      </c>
      <c r="J22" s="2" t="str">
        <f t="shared" si="1"/>
        <v>Абалтусова В. Г.</v>
      </c>
      <c r="K22" s="44">
        <v>41964</v>
      </c>
    </row>
    <row r="23" spans="1:11" x14ac:dyDescent="0.25">
      <c r="A23" s="43">
        <v>21</v>
      </c>
      <c r="B23" s="3">
        <v>1</v>
      </c>
      <c r="C23" s="2" t="str">
        <f>VLOOKUP('БАЗА (1)'!B23,'Справочник (2-3)'!$A$3:$B$9,2,FALSE)</f>
        <v>Москва</v>
      </c>
      <c r="D23" s="40">
        <v>43027</v>
      </c>
      <c r="E23" s="2">
        <v>114</v>
      </c>
      <c r="F23" s="9">
        <v>34727</v>
      </c>
      <c r="G23" s="9">
        <f t="shared" si="0"/>
        <v>3958878</v>
      </c>
      <c r="H23" s="2" t="str" cm="1">
        <f t="array" ref="H23">_xlfn.IFS('БАЗА (1)'!G23&gt;10000000,'Справочник (2-3)'!$G$5,AND('БАЗА (1)'!G23&lt;=10000000,'БАЗА (1)'!G23&gt;=5000000),'Справочник (2-3)'!$G$4,'БАЗА (1)'!G23&lt;5000000,'Справочник (2-3)'!$G$3)</f>
        <v>C</v>
      </c>
      <c r="I23" s="2" t="s">
        <v>89</v>
      </c>
      <c r="J23" s="2" t="str">
        <f t="shared" si="1"/>
        <v>Оносов А. Г.</v>
      </c>
      <c r="K23" s="44">
        <v>43027</v>
      </c>
    </row>
    <row r="24" spans="1:11" x14ac:dyDescent="0.25">
      <c r="A24" s="43">
        <v>22</v>
      </c>
      <c r="B24" s="3">
        <v>2</v>
      </c>
      <c r="C24" s="2" t="str">
        <f>VLOOKUP('БАЗА (1)'!B24,'Справочник (2-3)'!$A$3:$B$9,2,FALSE)</f>
        <v>Санкт-Петербург</v>
      </c>
      <c r="D24" s="40">
        <v>41993</v>
      </c>
      <c r="E24" s="2">
        <v>189</v>
      </c>
      <c r="F24" s="9">
        <v>34166</v>
      </c>
      <c r="G24" s="9">
        <f t="shared" si="0"/>
        <v>6457374</v>
      </c>
      <c r="H24" s="2" t="str" cm="1">
        <f t="array" ref="H24">_xlfn.IFS('БАЗА (1)'!G24&gt;10000000,'Справочник (2-3)'!$G$5,AND('БАЗА (1)'!G24&lt;=10000000,'БАЗА (1)'!G24&gt;=5000000),'Справочник (2-3)'!$G$4,'БАЗА (1)'!G24&lt;5000000,'Справочник (2-3)'!$G$3)</f>
        <v>B</v>
      </c>
      <c r="I24" s="2" t="s">
        <v>45</v>
      </c>
      <c r="J24" s="2" t="str">
        <f t="shared" si="1"/>
        <v>Абалтусова В. Г.</v>
      </c>
      <c r="K24" s="44">
        <v>41993</v>
      </c>
    </row>
    <row r="25" spans="1:11" x14ac:dyDescent="0.25">
      <c r="A25" s="43">
        <v>23</v>
      </c>
      <c r="B25" s="3">
        <v>1</v>
      </c>
      <c r="C25" s="2" t="str">
        <f>VLOOKUP('БАЗА (1)'!B25,'Справочник (2-3)'!$A$3:$B$9,2,FALSE)</f>
        <v>Москва</v>
      </c>
      <c r="D25" s="40">
        <v>41618</v>
      </c>
      <c r="E25" s="2">
        <v>102</v>
      </c>
      <c r="F25" s="9">
        <v>84120</v>
      </c>
      <c r="G25" s="9">
        <f t="shared" si="0"/>
        <v>8580240</v>
      </c>
      <c r="H25" s="2" t="str" cm="1">
        <f t="array" ref="H25">_xlfn.IFS('БАЗА (1)'!G25&gt;10000000,'Справочник (2-3)'!$G$5,AND('БАЗА (1)'!G25&lt;=10000000,'БАЗА (1)'!G25&gt;=5000000),'Справочник (2-3)'!$G$4,'БАЗА (1)'!G25&lt;5000000,'Справочник (2-3)'!$G$3)</f>
        <v>B</v>
      </c>
      <c r="I25" s="2" t="s">
        <v>83</v>
      </c>
      <c r="J25" s="2" t="str">
        <f t="shared" si="1"/>
        <v>Мец В. П.</v>
      </c>
      <c r="K25" s="44">
        <v>41618</v>
      </c>
    </row>
    <row r="26" spans="1:11" x14ac:dyDescent="0.25">
      <c r="A26" s="43">
        <v>24</v>
      </c>
      <c r="B26" s="3">
        <v>3</v>
      </c>
      <c r="C26" s="2" t="str">
        <f>VLOOKUP('БАЗА (1)'!B26,'Справочник (2-3)'!$A$3:$B$9,2,FALSE)</f>
        <v>Челябинск</v>
      </c>
      <c r="D26" s="40">
        <v>42653</v>
      </c>
      <c r="E26" s="2">
        <v>42</v>
      </c>
      <c r="F26" s="9">
        <v>85888</v>
      </c>
      <c r="G26" s="9">
        <f t="shared" si="0"/>
        <v>3607296</v>
      </c>
      <c r="H26" s="2" t="str" cm="1">
        <f t="array" ref="H26">_xlfn.IFS('БАЗА (1)'!G26&gt;10000000,'Справочник (2-3)'!$G$5,AND('БАЗА (1)'!G26&lt;=10000000,'БАЗА (1)'!G26&gt;=5000000),'Справочник (2-3)'!$G$4,'БАЗА (1)'!G26&lt;5000000,'Справочник (2-3)'!$G$3)</f>
        <v>C</v>
      </c>
      <c r="I26" s="2" t="s">
        <v>94</v>
      </c>
      <c r="J26" s="2" t="str">
        <f t="shared" si="1"/>
        <v>Петрушкевич О. В.</v>
      </c>
      <c r="K26" s="44">
        <v>42653</v>
      </c>
    </row>
    <row r="27" spans="1:11" x14ac:dyDescent="0.25">
      <c r="A27" s="43">
        <v>25</v>
      </c>
      <c r="B27" s="3">
        <v>3</v>
      </c>
      <c r="C27" s="2" t="str">
        <f>VLOOKUP('БАЗА (1)'!B27,'Справочник (2-3)'!$A$3:$B$9,2,FALSE)</f>
        <v>Челябинск</v>
      </c>
      <c r="D27" s="40">
        <v>42321</v>
      </c>
      <c r="E27" s="2">
        <v>135</v>
      </c>
      <c r="F27" s="9">
        <v>65737</v>
      </c>
      <c r="G27" s="9">
        <f t="shared" si="0"/>
        <v>8874495</v>
      </c>
      <c r="H27" s="2" t="str" cm="1">
        <f t="array" ref="H27">_xlfn.IFS('БАЗА (1)'!G27&gt;10000000,'Справочник (2-3)'!$G$5,AND('БАЗА (1)'!G27&lt;=10000000,'БАЗА (1)'!G27&gt;=5000000),'Справочник (2-3)'!$G$4,'БАЗА (1)'!G27&lt;5000000,'Справочник (2-3)'!$G$3)</f>
        <v>B</v>
      </c>
      <c r="I27" s="2" t="s">
        <v>72</v>
      </c>
      <c r="J27" s="2" t="str">
        <f t="shared" si="1"/>
        <v>Коновалов П. И.</v>
      </c>
      <c r="K27" s="44">
        <v>42321</v>
      </c>
    </row>
    <row r="28" spans="1:11" x14ac:dyDescent="0.25">
      <c r="A28" s="43">
        <v>26</v>
      </c>
      <c r="B28" s="3">
        <v>2</v>
      </c>
      <c r="C28" s="2" t="str">
        <f>VLOOKUP('БАЗА (1)'!B28,'Справочник (2-3)'!$A$3:$B$9,2,FALSE)</f>
        <v>Санкт-Петербург</v>
      </c>
      <c r="D28" s="40">
        <v>42362</v>
      </c>
      <c r="E28" s="2">
        <v>110</v>
      </c>
      <c r="F28" s="9">
        <v>14139</v>
      </c>
      <c r="G28" s="9">
        <f t="shared" si="0"/>
        <v>1555290</v>
      </c>
      <c r="H28" s="2" t="str" cm="1">
        <f t="array" ref="H28">_xlfn.IFS('БАЗА (1)'!G28&gt;10000000,'Справочник (2-3)'!$G$5,AND('БАЗА (1)'!G28&lt;=10000000,'БАЗА (1)'!G28&gt;=5000000),'Справочник (2-3)'!$G$4,'БАЗА (1)'!G28&lt;5000000,'Справочник (2-3)'!$G$3)</f>
        <v>C</v>
      </c>
      <c r="I28" s="2" t="s">
        <v>63</v>
      </c>
      <c r="J28" s="2" t="str">
        <f t="shared" si="1"/>
        <v>Зуева Е. Ю.</v>
      </c>
      <c r="K28" s="44">
        <v>42362</v>
      </c>
    </row>
    <row r="29" spans="1:11" x14ac:dyDescent="0.25">
      <c r="A29" s="43">
        <v>27</v>
      </c>
      <c r="B29" s="3">
        <v>3</v>
      </c>
      <c r="C29" s="2" t="str">
        <f>VLOOKUP('БАЗА (1)'!B29,'Справочник (2-3)'!$A$3:$B$9,2,FALSE)</f>
        <v>Челябинск</v>
      </c>
      <c r="D29" s="40">
        <v>42730</v>
      </c>
      <c r="E29" s="2">
        <v>82</v>
      </c>
      <c r="F29" s="9">
        <v>48019</v>
      </c>
      <c r="G29" s="9">
        <f t="shared" si="0"/>
        <v>3937558</v>
      </c>
      <c r="H29" s="2" t="str" cm="1">
        <f t="array" ref="H29">_xlfn.IFS('БАЗА (1)'!G29&gt;10000000,'Справочник (2-3)'!$G$5,AND('БАЗА (1)'!G29&lt;=10000000,'БАЗА (1)'!G29&gt;=5000000),'Справочник (2-3)'!$G$4,'БАЗА (1)'!G29&lt;5000000,'Справочник (2-3)'!$G$3)</f>
        <v>C</v>
      </c>
      <c r="I29" s="2" t="s">
        <v>85</v>
      </c>
      <c r="J29" s="2" t="str">
        <f t="shared" si="1"/>
        <v>Минина Т. В.</v>
      </c>
      <c r="K29" s="44">
        <v>42730</v>
      </c>
    </row>
    <row r="30" spans="1:11" x14ac:dyDescent="0.25">
      <c r="A30" s="43">
        <v>28</v>
      </c>
      <c r="B30" s="3">
        <v>5</v>
      </c>
      <c r="C30" s="2" t="str">
        <f>VLOOKUP('БАЗА (1)'!B30,'Справочник (2-3)'!$A$3:$B$9,2,FALSE)</f>
        <v>Омск</v>
      </c>
      <c r="D30" s="40">
        <v>41627</v>
      </c>
      <c r="E30" s="2">
        <v>30</v>
      </c>
      <c r="F30" s="9">
        <v>34286</v>
      </c>
      <c r="G30" s="9">
        <f t="shared" si="0"/>
        <v>1028580</v>
      </c>
      <c r="H30" s="2" t="str" cm="1">
        <f t="array" ref="H30">_xlfn.IFS('БАЗА (1)'!G30&gt;10000000,'Справочник (2-3)'!$G$5,AND('БАЗА (1)'!G30&lt;=10000000,'БАЗА (1)'!G30&gt;=5000000),'Справочник (2-3)'!$G$4,'БАЗА (1)'!G30&lt;5000000,'Справочник (2-3)'!$G$3)</f>
        <v>C</v>
      </c>
      <c r="I30" s="2" t="s">
        <v>59</v>
      </c>
      <c r="J30" s="2" t="str">
        <f t="shared" si="1"/>
        <v>Демидова Е. Б.</v>
      </c>
      <c r="K30" s="44">
        <v>41627</v>
      </c>
    </row>
    <row r="31" spans="1:11" x14ac:dyDescent="0.25">
      <c r="A31" s="43">
        <v>29</v>
      </c>
      <c r="B31" s="3">
        <v>1</v>
      </c>
      <c r="C31" s="2" t="str">
        <f>VLOOKUP('БАЗА (1)'!B31,'Справочник (2-3)'!$A$3:$B$9,2,FALSE)</f>
        <v>Москва</v>
      </c>
      <c r="D31" s="40">
        <v>41959</v>
      </c>
      <c r="E31" s="2">
        <v>52</v>
      </c>
      <c r="F31" s="9">
        <v>42098</v>
      </c>
      <c r="G31" s="9">
        <f t="shared" si="0"/>
        <v>2189096</v>
      </c>
      <c r="H31" s="2" t="str" cm="1">
        <f t="array" ref="H31">_xlfn.IFS('БАЗА (1)'!G31&gt;10000000,'Справочник (2-3)'!$G$5,AND('БАЗА (1)'!G31&lt;=10000000,'БАЗА (1)'!G31&gt;=5000000),'Справочник (2-3)'!$G$4,'БАЗА (1)'!G31&lt;5000000,'Справочник (2-3)'!$G$3)</f>
        <v>C</v>
      </c>
      <c r="I31" s="2" t="s">
        <v>76</v>
      </c>
      <c r="J31" s="2" t="str">
        <f t="shared" si="1"/>
        <v>Лакеенков Д. В.</v>
      </c>
      <c r="K31" s="44">
        <v>41959</v>
      </c>
    </row>
    <row r="32" spans="1:11" x14ac:dyDescent="0.25">
      <c r="A32" s="43">
        <v>30</v>
      </c>
      <c r="B32" s="3">
        <v>1</v>
      </c>
      <c r="C32" s="2" t="str">
        <f>VLOOKUP('БАЗА (1)'!B32,'Справочник (2-3)'!$A$3:$B$9,2,FALSE)</f>
        <v>Москва</v>
      </c>
      <c r="D32" s="40">
        <v>42719</v>
      </c>
      <c r="E32" s="2">
        <v>156</v>
      </c>
      <c r="F32" s="9">
        <v>98308</v>
      </c>
      <c r="G32" s="9">
        <f t="shared" si="0"/>
        <v>15336048</v>
      </c>
      <c r="H32" s="2" t="str" cm="1">
        <f t="array" ref="H32">_xlfn.IFS('БАЗА (1)'!G32&gt;10000000,'Справочник (2-3)'!$G$5,AND('БАЗА (1)'!G32&lt;=10000000,'БАЗА (1)'!G32&gt;=5000000),'Справочник (2-3)'!$G$4,'БАЗА (1)'!G32&lt;5000000,'Справочник (2-3)'!$G$3)</f>
        <v>A</v>
      </c>
      <c r="I32" s="2" t="s">
        <v>85</v>
      </c>
      <c r="J32" s="2" t="str">
        <f t="shared" si="1"/>
        <v>Минина Т. В.</v>
      </c>
      <c r="K32" s="44">
        <v>42719</v>
      </c>
    </row>
    <row r="33" spans="1:11" x14ac:dyDescent="0.25">
      <c r="A33" s="43">
        <v>31</v>
      </c>
      <c r="B33" s="3">
        <v>4</v>
      </c>
      <c r="C33" s="2" t="str">
        <f>VLOOKUP('БАЗА (1)'!B33,'Справочник (2-3)'!$A$3:$B$9,2,FALSE)</f>
        <v>Казань</v>
      </c>
      <c r="D33" s="40">
        <v>43022</v>
      </c>
      <c r="E33" s="2">
        <v>124</v>
      </c>
      <c r="F33" s="9">
        <v>60741</v>
      </c>
      <c r="G33" s="9">
        <f t="shared" si="0"/>
        <v>7531884</v>
      </c>
      <c r="H33" s="2" t="str" cm="1">
        <f t="array" ref="H33">_xlfn.IFS('БАЗА (1)'!G33&gt;10000000,'Справочник (2-3)'!$G$5,AND('БАЗА (1)'!G33&lt;=10000000,'БАЗА (1)'!G33&gt;=5000000),'Справочник (2-3)'!$G$4,'БАЗА (1)'!G33&lt;5000000,'Справочник (2-3)'!$G$3)</f>
        <v>B</v>
      </c>
      <c r="I33" s="2" t="s">
        <v>82</v>
      </c>
      <c r="J33" s="2" t="str">
        <f t="shared" si="1"/>
        <v>Меркушев А. С.</v>
      </c>
      <c r="K33" s="44">
        <v>43022</v>
      </c>
    </row>
    <row r="34" spans="1:11" x14ac:dyDescent="0.25">
      <c r="A34" s="43">
        <v>32</v>
      </c>
      <c r="B34" s="3">
        <v>5</v>
      </c>
      <c r="C34" s="2" t="str">
        <f>VLOOKUP('БАЗА (1)'!B34,'Справочник (2-3)'!$A$3:$B$9,2,FALSE)</f>
        <v>Омск</v>
      </c>
      <c r="D34" s="40">
        <v>43027</v>
      </c>
      <c r="E34" s="2">
        <v>111</v>
      </c>
      <c r="F34" s="9">
        <v>94566</v>
      </c>
      <c r="G34" s="9">
        <f t="shared" si="0"/>
        <v>10496826</v>
      </c>
      <c r="H34" s="2" t="str" cm="1">
        <f t="array" ref="H34">_xlfn.IFS('БАЗА (1)'!G34&gt;10000000,'Справочник (2-3)'!$G$5,AND('БАЗА (1)'!G34&lt;=10000000,'БАЗА (1)'!G34&gt;=5000000),'Справочник (2-3)'!$G$4,'БАЗА (1)'!G34&lt;5000000,'Справочник (2-3)'!$G$3)</f>
        <v>A</v>
      </c>
      <c r="I34" s="2" t="s">
        <v>66</v>
      </c>
      <c r="J34" s="2" t="str">
        <f t="shared" si="1"/>
        <v>Ильина Т. Н.</v>
      </c>
      <c r="K34" s="44">
        <v>43027</v>
      </c>
    </row>
    <row r="35" spans="1:11" x14ac:dyDescent="0.25">
      <c r="A35" s="43">
        <v>33</v>
      </c>
      <c r="B35" s="3">
        <v>1</v>
      </c>
      <c r="C35" s="2" t="str">
        <f>VLOOKUP('БАЗА (1)'!B35,'Справочник (2-3)'!$A$3:$B$9,2,FALSE)</f>
        <v>Москва</v>
      </c>
      <c r="D35" s="40">
        <v>42701</v>
      </c>
      <c r="E35" s="2">
        <v>50</v>
      </c>
      <c r="F35" s="9">
        <v>86217</v>
      </c>
      <c r="G35" s="9">
        <f t="shared" si="0"/>
        <v>4310850</v>
      </c>
      <c r="H35" s="2" t="str" cm="1">
        <f t="array" ref="H35">_xlfn.IFS('БАЗА (1)'!G35&gt;10000000,'Справочник (2-3)'!$G$5,AND('БАЗА (1)'!G35&lt;=10000000,'БАЗА (1)'!G35&gt;=5000000),'Справочник (2-3)'!$G$4,'БАЗА (1)'!G35&lt;5000000,'Справочник (2-3)'!$G$3)</f>
        <v>C</v>
      </c>
      <c r="I35" s="2" t="s">
        <v>61</v>
      </c>
      <c r="J35" s="2" t="str">
        <f t="shared" si="1"/>
        <v>Дьякова Т. А.</v>
      </c>
      <c r="K35" s="44">
        <v>42701</v>
      </c>
    </row>
    <row r="36" spans="1:11" x14ac:dyDescent="0.25">
      <c r="A36" s="43">
        <v>34</v>
      </c>
      <c r="B36" s="3">
        <v>3</v>
      </c>
      <c r="C36" s="2" t="str">
        <f>VLOOKUP('БАЗА (1)'!B36,'Справочник (2-3)'!$A$3:$B$9,2,FALSE)</f>
        <v>Челябинск</v>
      </c>
      <c r="D36" s="40">
        <v>42701</v>
      </c>
      <c r="E36" s="2">
        <v>82</v>
      </c>
      <c r="F36" s="9">
        <v>31676</v>
      </c>
      <c r="G36" s="9">
        <f t="shared" si="0"/>
        <v>2597432</v>
      </c>
      <c r="H36" s="2" t="str" cm="1">
        <f t="array" ref="H36">_xlfn.IFS('БАЗА (1)'!G36&gt;10000000,'Справочник (2-3)'!$G$5,AND('БАЗА (1)'!G36&lt;=10000000,'БАЗА (1)'!G36&gt;=5000000),'Справочник (2-3)'!$G$4,'БАЗА (1)'!G36&lt;5000000,'Справочник (2-3)'!$G$3)</f>
        <v>C</v>
      </c>
      <c r="I36" s="2" t="s">
        <v>64</v>
      </c>
      <c r="J36" s="2" t="str">
        <f t="shared" si="1"/>
        <v>Иванов В. Г.</v>
      </c>
      <c r="K36" s="44">
        <v>42701</v>
      </c>
    </row>
    <row r="37" spans="1:11" x14ac:dyDescent="0.25">
      <c r="A37" s="43">
        <v>35</v>
      </c>
      <c r="B37" s="3">
        <v>5</v>
      </c>
      <c r="C37" s="2" t="str">
        <f>VLOOKUP('БАЗА (1)'!B37,'Справочник (2-3)'!$A$3:$B$9,2,FALSE)</f>
        <v>Омск</v>
      </c>
      <c r="D37" s="40">
        <v>41597</v>
      </c>
      <c r="E37" s="2">
        <v>39</v>
      </c>
      <c r="F37" s="9">
        <v>52864</v>
      </c>
      <c r="G37" s="9">
        <f t="shared" si="0"/>
        <v>2061696</v>
      </c>
      <c r="H37" s="2" t="str" cm="1">
        <f t="array" ref="H37">_xlfn.IFS('БАЗА (1)'!G37&gt;10000000,'Справочник (2-3)'!$G$5,AND('БАЗА (1)'!G37&lt;=10000000,'БАЗА (1)'!G37&gt;=5000000),'Справочник (2-3)'!$G$4,'БАЗА (1)'!G37&lt;5000000,'Справочник (2-3)'!$G$3)</f>
        <v>C</v>
      </c>
      <c r="I37" s="2" t="s">
        <v>65</v>
      </c>
      <c r="J37" s="2" t="str">
        <f t="shared" si="1"/>
        <v>Иванова Л. Н.</v>
      </c>
      <c r="K37" s="44">
        <v>41597</v>
      </c>
    </row>
    <row r="38" spans="1:11" x14ac:dyDescent="0.25">
      <c r="A38" s="43">
        <v>36</v>
      </c>
      <c r="B38" s="3">
        <v>5</v>
      </c>
      <c r="C38" s="2" t="str">
        <f>VLOOKUP('БАЗА (1)'!B38,'Справочник (2-3)'!$A$3:$B$9,2,FALSE)</f>
        <v>Омск</v>
      </c>
      <c r="D38" s="40">
        <v>42319</v>
      </c>
      <c r="E38" s="2">
        <v>57</v>
      </c>
      <c r="F38" s="9">
        <v>81929</v>
      </c>
      <c r="G38" s="9">
        <f t="shared" si="0"/>
        <v>4669953</v>
      </c>
      <c r="H38" s="2" t="str" cm="1">
        <f t="array" ref="H38">_xlfn.IFS('БАЗА (1)'!G38&gt;10000000,'Справочник (2-3)'!$G$5,AND('БАЗА (1)'!G38&lt;=10000000,'БАЗА (1)'!G38&gt;=5000000),'Справочник (2-3)'!$G$4,'БАЗА (1)'!G38&lt;5000000,'Справочник (2-3)'!$G$3)</f>
        <v>C</v>
      </c>
      <c r="I38" s="2" t="s">
        <v>71</v>
      </c>
      <c r="J38" s="2" t="str">
        <f t="shared" si="1"/>
        <v>Клепизонова В. А.</v>
      </c>
      <c r="K38" s="44">
        <v>42319</v>
      </c>
    </row>
    <row r="39" spans="1:11" x14ac:dyDescent="0.25">
      <c r="A39" s="43">
        <v>37</v>
      </c>
      <c r="B39" s="3">
        <v>5</v>
      </c>
      <c r="C39" s="2" t="str">
        <f>VLOOKUP('БАЗА (1)'!B39,'Справочник (2-3)'!$A$3:$B$9,2,FALSE)</f>
        <v>Омск</v>
      </c>
      <c r="D39" s="40">
        <v>43063</v>
      </c>
      <c r="E39" s="2">
        <v>50</v>
      </c>
      <c r="F39" s="9">
        <v>59677</v>
      </c>
      <c r="G39" s="9">
        <f t="shared" si="0"/>
        <v>2983850</v>
      </c>
      <c r="H39" s="2" t="str" cm="1">
        <f t="array" ref="H39">_xlfn.IFS('БАЗА (1)'!G39&gt;10000000,'Справочник (2-3)'!$G$5,AND('БАЗА (1)'!G39&lt;=10000000,'БАЗА (1)'!G39&gt;=5000000),'Справочник (2-3)'!$G$4,'БАЗА (1)'!G39&lt;5000000,'Справочник (2-3)'!$G$3)</f>
        <v>C</v>
      </c>
      <c r="I39" s="2" t="s">
        <v>73</v>
      </c>
      <c r="J39" s="2" t="str">
        <f t="shared" si="1"/>
        <v>Королев А. М.</v>
      </c>
      <c r="K39" s="44">
        <v>43063</v>
      </c>
    </row>
    <row r="40" spans="1:11" x14ac:dyDescent="0.25">
      <c r="A40" s="43">
        <v>38</v>
      </c>
      <c r="B40" s="3">
        <v>1</v>
      </c>
      <c r="C40" s="2" t="str">
        <f>VLOOKUP('БАЗА (1)'!B40,'Справочник (2-3)'!$A$3:$B$9,2,FALSE)</f>
        <v>Москва</v>
      </c>
      <c r="D40" s="40">
        <v>42716</v>
      </c>
      <c r="E40" s="2">
        <v>18</v>
      </c>
      <c r="F40" s="9">
        <v>47034</v>
      </c>
      <c r="G40" s="9">
        <f t="shared" si="0"/>
        <v>846612</v>
      </c>
      <c r="H40" s="2" t="str" cm="1">
        <f t="array" ref="H40">_xlfn.IFS('БАЗА (1)'!G40&gt;10000000,'Справочник (2-3)'!$G$5,AND('БАЗА (1)'!G40&lt;=10000000,'БАЗА (1)'!G40&gt;=5000000),'Справочник (2-3)'!$G$4,'БАЗА (1)'!G40&lt;5000000,'Справочник (2-3)'!$G$3)</f>
        <v>C</v>
      </c>
      <c r="I40" s="2" t="s">
        <v>69</v>
      </c>
      <c r="J40" s="2" t="str">
        <f t="shared" si="1"/>
        <v>Каскеева Е. А.</v>
      </c>
      <c r="K40" s="44">
        <v>42716</v>
      </c>
    </row>
    <row r="41" spans="1:11" x14ac:dyDescent="0.25">
      <c r="A41" s="43">
        <v>39</v>
      </c>
      <c r="B41" s="3">
        <v>6</v>
      </c>
      <c r="C41" s="2" t="str">
        <f>VLOOKUP('БАЗА (1)'!B41,'Справочник (2-3)'!$A$3:$B$9,2,FALSE)</f>
        <v>Харьков</v>
      </c>
      <c r="D41" s="40">
        <v>41985</v>
      </c>
      <c r="E41" s="2">
        <v>169</v>
      </c>
      <c r="F41" s="9">
        <v>63847</v>
      </c>
      <c r="G41" s="9">
        <f t="shared" si="0"/>
        <v>10790143</v>
      </c>
      <c r="H41" s="2" t="str" cm="1">
        <f t="array" ref="H41">_xlfn.IFS('БАЗА (1)'!G41&gt;10000000,'Справочник (2-3)'!$G$5,AND('БАЗА (1)'!G41&lt;=10000000,'БАЗА (1)'!G41&gt;=5000000),'Справочник (2-3)'!$G$4,'БАЗА (1)'!G41&lt;5000000,'Справочник (2-3)'!$G$3)</f>
        <v>A</v>
      </c>
      <c r="I41" s="2" t="s">
        <v>90</v>
      </c>
      <c r="J41" s="2" t="str">
        <f t="shared" si="1"/>
        <v>Павлова Н. И.</v>
      </c>
      <c r="K41" s="44">
        <v>41985</v>
      </c>
    </row>
    <row r="42" spans="1:11" x14ac:dyDescent="0.25">
      <c r="A42" s="43">
        <v>40</v>
      </c>
      <c r="B42" s="3">
        <v>6</v>
      </c>
      <c r="C42" s="2" t="str">
        <f>VLOOKUP('БАЗА (1)'!B42,'Справочник (2-3)'!$A$3:$B$9,2,FALSE)</f>
        <v>Харьков</v>
      </c>
      <c r="D42" s="40">
        <v>41565</v>
      </c>
      <c r="E42" s="2">
        <v>195</v>
      </c>
      <c r="F42" s="9">
        <v>93598</v>
      </c>
      <c r="G42" s="9">
        <f t="shared" si="0"/>
        <v>18251610</v>
      </c>
      <c r="H42" s="2" t="str" cm="1">
        <f t="array" ref="H42">_xlfn.IFS('БАЗА (1)'!G42&gt;10000000,'Справочник (2-3)'!$G$5,AND('БАЗА (1)'!G42&lt;=10000000,'БАЗА (1)'!G42&gt;=5000000),'Справочник (2-3)'!$G$4,'БАЗА (1)'!G42&lt;5000000,'Справочник (2-3)'!$G$3)</f>
        <v>A</v>
      </c>
      <c r="I42" s="2" t="s">
        <v>83</v>
      </c>
      <c r="J42" s="2" t="str">
        <f t="shared" si="1"/>
        <v>Мец В. П.</v>
      </c>
      <c r="K42" s="44">
        <v>41565</v>
      </c>
    </row>
    <row r="43" spans="1:11" x14ac:dyDescent="0.25">
      <c r="A43" s="43">
        <v>41</v>
      </c>
      <c r="B43" s="3">
        <v>7</v>
      </c>
      <c r="C43" s="2" t="str">
        <f>VLOOKUP('БАЗА (1)'!B43,'Справочник (2-3)'!$A$3:$B$9,2,FALSE)</f>
        <v>Йошкар-Ола</v>
      </c>
      <c r="D43" s="40">
        <v>42289</v>
      </c>
      <c r="E43" s="2">
        <v>104</v>
      </c>
      <c r="F43" s="9">
        <v>44828</v>
      </c>
      <c r="G43" s="9">
        <f t="shared" si="0"/>
        <v>4662112</v>
      </c>
      <c r="H43" s="2" t="str" cm="1">
        <f t="array" ref="H43">_xlfn.IFS('БАЗА (1)'!G43&gt;10000000,'Справочник (2-3)'!$G$5,AND('БАЗА (1)'!G43&lt;=10000000,'БАЗА (1)'!G43&gt;=5000000),'Справочник (2-3)'!$G$4,'БАЗА (1)'!G43&lt;5000000,'Справочник (2-3)'!$G$3)</f>
        <v>C</v>
      </c>
      <c r="I43" s="2" t="s">
        <v>94</v>
      </c>
      <c r="J43" s="2" t="str">
        <f t="shared" si="1"/>
        <v>Петрушкевич О. В.</v>
      </c>
      <c r="K43" s="44">
        <v>42289</v>
      </c>
    </row>
    <row r="44" spans="1:11" x14ac:dyDescent="0.25">
      <c r="A44" s="43">
        <v>42</v>
      </c>
      <c r="B44" s="3">
        <v>6</v>
      </c>
      <c r="C44" s="2" t="str">
        <f>VLOOKUP('БАЗА (1)'!B44,'Справочник (2-3)'!$A$3:$B$9,2,FALSE)</f>
        <v>Харьков</v>
      </c>
      <c r="D44" s="40">
        <v>42288</v>
      </c>
      <c r="E44" s="2">
        <v>84</v>
      </c>
      <c r="F44" s="9">
        <v>89621</v>
      </c>
      <c r="G44" s="9">
        <f t="shared" si="0"/>
        <v>7528164</v>
      </c>
      <c r="H44" s="2" t="str" cm="1">
        <f t="array" ref="H44">_xlfn.IFS('БАЗА (1)'!G44&gt;10000000,'Справочник (2-3)'!$G$5,AND('БАЗА (1)'!G44&lt;=10000000,'БАЗА (1)'!G44&gt;=5000000),'Справочник (2-3)'!$G$4,'БАЗА (1)'!G44&lt;5000000,'Справочник (2-3)'!$G$3)</f>
        <v>B</v>
      </c>
      <c r="I44" s="2" t="s">
        <v>67</v>
      </c>
      <c r="J44" s="2" t="str">
        <f t="shared" si="1"/>
        <v>Исцелемова С. А.</v>
      </c>
      <c r="K44" s="44">
        <v>42288</v>
      </c>
    </row>
    <row r="45" spans="1:11" x14ac:dyDescent="0.25">
      <c r="A45" s="43">
        <v>43</v>
      </c>
      <c r="B45" s="3">
        <v>3</v>
      </c>
      <c r="C45" s="2" t="str">
        <f>VLOOKUP('БАЗА (1)'!B45,'Справочник (2-3)'!$A$3:$B$9,2,FALSE)</f>
        <v>Челябинск</v>
      </c>
      <c r="D45" s="40">
        <v>43019</v>
      </c>
      <c r="E45" s="2">
        <v>78</v>
      </c>
      <c r="F45" s="9">
        <v>23480</v>
      </c>
      <c r="G45" s="9">
        <f t="shared" si="0"/>
        <v>1831440</v>
      </c>
      <c r="H45" s="2" t="str" cm="1">
        <f t="array" ref="H45">_xlfn.IFS('БАЗА (1)'!G45&gt;10000000,'Справочник (2-3)'!$G$5,AND('БАЗА (1)'!G45&lt;=10000000,'БАЗА (1)'!G45&gt;=5000000),'Справочник (2-3)'!$G$4,'БАЗА (1)'!G45&lt;5000000,'Справочник (2-3)'!$G$3)</f>
        <v>C</v>
      </c>
      <c r="I45" s="2" t="s">
        <v>71</v>
      </c>
      <c r="J45" s="2" t="str">
        <f t="shared" si="1"/>
        <v>Клепизонова В. А.</v>
      </c>
      <c r="K45" s="44">
        <v>43019</v>
      </c>
    </row>
    <row r="46" spans="1:11" x14ac:dyDescent="0.25">
      <c r="A46" s="43">
        <v>44</v>
      </c>
      <c r="B46" s="3">
        <v>6</v>
      </c>
      <c r="C46" s="2" t="str">
        <f>VLOOKUP('БАЗА (1)'!B46,'Справочник (2-3)'!$A$3:$B$9,2,FALSE)</f>
        <v>Харьков</v>
      </c>
      <c r="D46" s="40">
        <v>42291</v>
      </c>
      <c r="E46" s="2">
        <v>161</v>
      </c>
      <c r="F46" s="9">
        <v>32002</v>
      </c>
      <c r="G46" s="9">
        <f t="shared" si="0"/>
        <v>5152322</v>
      </c>
      <c r="H46" s="2" t="str" cm="1">
        <f t="array" ref="H46">_xlfn.IFS('БАЗА (1)'!G46&gt;10000000,'Справочник (2-3)'!$G$5,AND('БАЗА (1)'!G46&lt;=10000000,'БАЗА (1)'!G46&gt;=5000000),'Справочник (2-3)'!$G$4,'БАЗА (1)'!G46&lt;5000000,'Справочник (2-3)'!$G$3)</f>
        <v>B</v>
      </c>
      <c r="I46" s="2" t="s">
        <v>51</v>
      </c>
      <c r="J46" s="2" t="str">
        <f t="shared" si="1"/>
        <v>Васнин В. В.</v>
      </c>
      <c r="K46" s="44">
        <v>42291</v>
      </c>
    </row>
    <row r="47" spans="1:11" x14ac:dyDescent="0.25">
      <c r="A47" s="43">
        <v>45</v>
      </c>
      <c r="B47" s="3">
        <v>2</v>
      </c>
      <c r="C47" s="2" t="str">
        <f>VLOOKUP('БАЗА (1)'!B47,'Справочник (2-3)'!$A$3:$B$9,2,FALSE)</f>
        <v>Санкт-Петербург</v>
      </c>
      <c r="D47" s="40">
        <v>42356</v>
      </c>
      <c r="E47" s="2">
        <v>184</v>
      </c>
      <c r="F47" s="9">
        <v>33769</v>
      </c>
      <c r="G47" s="9">
        <f t="shared" si="0"/>
        <v>6213496</v>
      </c>
      <c r="H47" s="2" t="str" cm="1">
        <f t="array" ref="H47">_xlfn.IFS('БАЗА (1)'!G47&gt;10000000,'Справочник (2-3)'!$G$5,AND('БАЗА (1)'!G47&lt;=10000000,'БАЗА (1)'!G47&gt;=5000000),'Справочник (2-3)'!$G$4,'БАЗА (1)'!G47&lt;5000000,'Справочник (2-3)'!$G$3)</f>
        <v>B</v>
      </c>
      <c r="I47" s="2" t="s">
        <v>48</v>
      </c>
      <c r="J47" s="2" t="str">
        <f t="shared" si="1"/>
        <v>Бармина Ю. А.</v>
      </c>
      <c r="K47" s="44">
        <v>42356</v>
      </c>
    </row>
    <row r="48" spans="1:11" x14ac:dyDescent="0.25">
      <c r="A48" s="43">
        <v>46</v>
      </c>
      <c r="B48" s="3">
        <v>7</v>
      </c>
      <c r="C48" s="2" t="str">
        <f>VLOOKUP('БАЗА (1)'!B48,'Справочник (2-3)'!$A$3:$B$9,2,FALSE)</f>
        <v>Йошкар-Ола</v>
      </c>
      <c r="D48" s="40">
        <v>41568</v>
      </c>
      <c r="E48" s="2">
        <v>81</v>
      </c>
      <c r="F48" s="9">
        <v>96172</v>
      </c>
      <c r="G48" s="9">
        <f t="shared" si="0"/>
        <v>7789932</v>
      </c>
      <c r="H48" s="2" t="str" cm="1">
        <f t="array" ref="H48">_xlfn.IFS('БАЗА (1)'!G48&gt;10000000,'Справочник (2-3)'!$G$5,AND('БАЗА (1)'!G48&lt;=10000000,'БАЗА (1)'!G48&gt;=5000000),'Справочник (2-3)'!$G$4,'БАЗА (1)'!G48&lt;5000000,'Справочник (2-3)'!$G$3)</f>
        <v>B</v>
      </c>
      <c r="I48" s="2" t="s">
        <v>73</v>
      </c>
      <c r="J48" s="2" t="str">
        <f t="shared" si="1"/>
        <v>Королев А. М.</v>
      </c>
      <c r="K48" s="44">
        <v>41568</v>
      </c>
    </row>
    <row r="49" spans="1:11" x14ac:dyDescent="0.25">
      <c r="A49" s="43">
        <v>47</v>
      </c>
      <c r="B49" s="3">
        <v>3</v>
      </c>
      <c r="C49" s="2" t="str">
        <f>VLOOKUP('БАЗА (1)'!B49,'Справочник (2-3)'!$A$3:$B$9,2,FALSE)</f>
        <v>Челябинск</v>
      </c>
      <c r="D49" s="40">
        <v>43084</v>
      </c>
      <c r="E49" s="2">
        <v>155</v>
      </c>
      <c r="F49" s="9">
        <v>16996</v>
      </c>
      <c r="G49" s="9">
        <f t="shared" si="0"/>
        <v>2634380</v>
      </c>
      <c r="H49" s="2" t="str" cm="1">
        <f t="array" ref="H49">_xlfn.IFS('БАЗА (1)'!G49&gt;10000000,'Справочник (2-3)'!$G$5,AND('БАЗА (1)'!G49&lt;=10000000,'БАЗА (1)'!G49&gt;=5000000),'Справочник (2-3)'!$G$4,'БАЗА (1)'!G49&lt;5000000,'Справочник (2-3)'!$G$3)</f>
        <v>C</v>
      </c>
      <c r="I49" s="2" t="s">
        <v>57</v>
      </c>
      <c r="J49" s="2" t="str">
        <f t="shared" si="1"/>
        <v>Гудошников А. В.</v>
      </c>
      <c r="K49" s="44">
        <v>43084</v>
      </c>
    </row>
    <row r="50" spans="1:11" x14ac:dyDescent="0.25">
      <c r="A50" s="43">
        <v>48</v>
      </c>
      <c r="B50" s="3">
        <v>6</v>
      </c>
      <c r="C50" s="2" t="str">
        <f>VLOOKUP('БАЗА (1)'!B50,'Справочник (2-3)'!$A$3:$B$9,2,FALSE)</f>
        <v>Харьков</v>
      </c>
      <c r="D50" s="40">
        <v>41602</v>
      </c>
      <c r="E50" s="2">
        <v>125</v>
      </c>
      <c r="F50" s="9">
        <v>24015</v>
      </c>
      <c r="G50" s="9">
        <f t="shared" si="0"/>
        <v>3001875</v>
      </c>
      <c r="H50" s="2" t="str" cm="1">
        <f t="array" ref="H50">_xlfn.IFS('БАЗА (1)'!G50&gt;10000000,'Справочник (2-3)'!$G$5,AND('БАЗА (1)'!G50&lt;=10000000,'БАЗА (1)'!G50&gt;=5000000),'Справочник (2-3)'!$G$4,'БАЗА (1)'!G50&lt;5000000,'Справочник (2-3)'!$G$3)</f>
        <v>C</v>
      </c>
      <c r="I50" s="2" t="s">
        <v>54</v>
      </c>
      <c r="J50" s="2" t="str">
        <f t="shared" si="1"/>
        <v>Голдобина А. В.</v>
      </c>
      <c r="K50" s="44">
        <v>41602</v>
      </c>
    </row>
    <row r="51" spans="1:11" x14ac:dyDescent="0.25">
      <c r="A51" s="43">
        <v>49</v>
      </c>
      <c r="B51" s="3">
        <v>2</v>
      </c>
      <c r="C51" s="2" t="str">
        <f>VLOOKUP('БАЗА (1)'!B51,'Справочник (2-3)'!$A$3:$B$9,2,FALSE)</f>
        <v>Санкт-Петербург</v>
      </c>
      <c r="D51" s="40">
        <v>42724</v>
      </c>
      <c r="E51" s="2">
        <v>129</v>
      </c>
      <c r="F51" s="9">
        <v>80267</v>
      </c>
      <c r="G51" s="9">
        <f t="shared" si="0"/>
        <v>10354443</v>
      </c>
      <c r="H51" s="2" t="str" cm="1">
        <f t="array" ref="H51">_xlfn.IFS('БАЗА (1)'!G51&gt;10000000,'Справочник (2-3)'!$G$5,AND('БАЗА (1)'!G51&lt;=10000000,'БАЗА (1)'!G51&gt;=5000000),'Справочник (2-3)'!$G$4,'БАЗА (1)'!G51&lt;5000000,'Справочник (2-3)'!$G$3)</f>
        <v>A</v>
      </c>
      <c r="I51" s="2" t="s">
        <v>70</v>
      </c>
      <c r="J51" s="2" t="str">
        <f t="shared" si="1"/>
        <v>Каячева М. В.</v>
      </c>
      <c r="K51" s="44">
        <v>42724</v>
      </c>
    </row>
    <row r="52" spans="1:11" x14ac:dyDescent="0.25">
      <c r="A52" s="43">
        <v>50</v>
      </c>
      <c r="B52" s="3">
        <v>1</v>
      </c>
      <c r="C52" s="2" t="str">
        <f>VLOOKUP('БАЗА (1)'!B52,'Справочник (2-3)'!$A$3:$B$9,2,FALSE)</f>
        <v>Москва</v>
      </c>
      <c r="D52" s="40">
        <v>41994</v>
      </c>
      <c r="E52" s="2">
        <v>34</v>
      </c>
      <c r="F52" s="9">
        <v>36460</v>
      </c>
      <c r="G52" s="9">
        <f t="shared" si="0"/>
        <v>1239640</v>
      </c>
      <c r="H52" s="2" t="str" cm="1">
        <f t="array" ref="H52">_xlfn.IFS('БАЗА (1)'!G52&gt;10000000,'Справочник (2-3)'!$G$5,AND('БАЗА (1)'!G52&lt;=10000000,'БАЗА (1)'!G52&gt;=5000000),'Справочник (2-3)'!$G$4,'БАЗА (1)'!G52&lt;5000000,'Справочник (2-3)'!$G$3)</f>
        <v>C</v>
      </c>
      <c r="I52" s="2" t="s">
        <v>58</v>
      </c>
      <c r="J52" s="2" t="str">
        <f t="shared" si="1"/>
        <v>Давыдова Т. К.</v>
      </c>
      <c r="K52" s="44">
        <v>41994</v>
      </c>
    </row>
    <row r="53" spans="1:11" x14ac:dyDescent="0.25">
      <c r="A53" s="43">
        <v>51</v>
      </c>
      <c r="B53" s="3">
        <v>6</v>
      </c>
      <c r="C53" s="2" t="str">
        <f>VLOOKUP('БАЗА (1)'!B53,'Справочник (2-3)'!$A$3:$B$9,2,FALSE)</f>
        <v>Харьков</v>
      </c>
      <c r="D53" s="40">
        <v>42328</v>
      </c>
      <c r="E53" s="2">
        <v>82</v>
      </c>
      <c r="F53" s="9">
        <v>63434</v>
      </c>
      <c r="G53" s="9">
        <f t="shared" si="0"/>
        <v>5201588</v>
      </c>
      <c r="H53" s="2" t="str" cm="1">
        <f t="array" ref="H53">_xlfn.IFS('БАЗА (1)'!G53&gt;10000000,'Справочник (2-3)'!$G$5,AND('БАЗА (1)'!G53&lt;=10000000,'БАЗА (1)'!G53&gt;=5000000),'Справочник (2-3)'!$G$4,'БАЗА (1)'!G53&lt;5000000,'Справочник (2-3)'!$G$3)</f>
        <v>B</v>
      </c>
      <c r="I53" s="2" t="s">
        <v>96</v>
      </c>
      <c r="J53" s="2" t="str">
        <f t="shared" si="1"/>
        <v>Подчуфарова Ж. А.</v>
      </c>
      <c r="K53" s="44">
        <v>42328</v>
      </c>
    </row>
    <row r="54" spans="1:11" x14ac:dyDescent="0.25">
      <c r="A54" s="43">
        <v>52</v>
      </c>
      <c r="B54" s="3">
        <v>3</v>
      </c>
      <c r="C54" s="2" t="str">
        <f>VLOOKUP('БАЗА (1)'!B54,'Справочник (2-3)'!$A$3:$B$9,2,FALSE)</f>
        <v>Челябинск</v>
      </c>
      <c r="D54" s="40">
        <v>42322</v>
      </c>
      <c r="E54" s="2">
        <v>81</v>
      </c>
      <c r="F54" s="9">
        <v>2425</v>
      </c>
      <c r="G54" s="9">
        <f t="shared" si="0"/>
        <v>196425</v>
      </c>
      <c r="H54" s="2" t="str" cm="1">
        <f t="array" ref="H54">_xlfn.IFS('БАЗА (1)'!G54&gt;10000000,'Справочник (2-3)'!$G$5,AND('БАЗА (1)'!G54&lt;=10000000,'БАЗА (1)'!G54&gt;=5000000),'Справочник (2-3)'!$G$4,'БАЗА (1)'!G54&lt;5000000,'Справочник (2-3)'!$G$3)</f>
        <v>C</v>
      </c>
      <c r="I54" s="2" t="s">
        <v>71</v>
      </c>
      <c r="J54" s="2" t="str">
        <f t="shared" si="1"/>
        <v>Клепизонова В. А.</v>
      </c>
      <c r="K54" s="44">
        <v>42322</v>
      </c>
    </row>
    <row r="55" spans="1:11" x14ac:dyDescent="0.25">
      <c r="A55" s="43">
        <v>53</v>
      </c>
      <c r="B55" s="3">
        <v>5</v>
      </c>
      <c r="C55" s="2" t="str">
        <f>VLOOKUP('БАЗА (1)'!B55,'Справочник (2-3)'!$A$3:$B$9,2,FALSE)</f>
        <v>Омск</v>
      </c>
      <c r="D55" s="40">
        <v>42716</v>
      </c>
      <c r="E55" s="2">
        <v>168</v>
      </c>
      <c r="F55" s="9">
        <v>85114</v>
      </c>
      <c r="G55" s="9">
        <f t="shared" si="0"/>
        <v>14299152</v>
      </c>
      <c r="H55" s="2" t="str" cm="1">
        <f t="array" ref="H55">_xlfn.IFS('БАЗА (1)'!G55&gt;10000000,'Справочник (2-3)'!$G$5,AND('БАЗА (1)'!G55&lt;=10000000,'БАЗА (1)'!G55&gt;=5000000),'Справочник (2-3)'!$G$4,'БАЗА (1)'!G55&lt;5000000,'Справочник (2-3)'!$G$3)</f>
        <v>A</v>
      </c>
      <c r="I55" s="2" t="s">
        <v>61</v>
      </c>
      <c r="J55" s="2" t="str">
        <f t="shared" si="1"/>
        <v>Дьякова Т. А.</v>
      </c>
      <c r="K55" s="44">
        <v>42716</v>
      </c>
    </row>
    <row r="56" spans="1:11" x14ac:dyDescent="0.25">
      <c r="A56" s="43">
        <v>54</v>
      </c>
      <c r="B56" s="3">
        <v>3</v>
      </c>
      <c r="C56" s="2" t="str">
        <f>VLOOKUP('БАЗА (1)'!B56,'Справочник (2-3)'!$A$3:$B$9,2,FALSE)</f>
        <v>Челябинск</v>
      </c>
      <c r="D56" s="40">
        <v>41569</v>
      </c>
      <c r="E56" s="2">
        <v>39</v>
      </c>
      <c r="F56" s="9">
        <v>17248</v>
      </c>
      <c r="G56" s="9">
        <f t="shared" si="0"/>
        <v>672672</v>
      </c>
      <c r="H56" s="2" t="str" cm="1">
        <f t="array" ref="H56">_xlfn.IFS('БАЗА (1)'!G56&gt;10000000,'Справочник (2-3)'!$G$5,AND('БАЗА (1)'!G56&lt;=10000000,'БАЗА (1)'!G56&gt;=5000000),'Справочник (2-3)'!$G$4,'БАЗА (1)'!G56&lt;5000000,'Справочник (2-3)'!$G$3)</f>
        <v>C</v>
      </c>
      <c r="I56" s="2" t="s">
        <v>76</v>
      </c>
      <c r="J56" s="2" t="str">
        <f t="shared" si="1"/>
        <v>Лакеенков Д. В.</v>
      </c>
      <c r="K56" s="44">
        <v>41569</v>
      </c>
    </row>
    <row r="57" spans="1:11" x14ac:dyDescent="0.25">
      <c r="A57" s="43">
        <v>55</v>
      </c>
      <c r="B57" s="3">
        <v>7</v>
      </c>
      <c r="C57" s="2" t="str">
        <f>VLOOKUP('БАЗА (1)'!B57,'Справочник (2-3)'!$A$3:$B$9,2,FALSE)</f>
        <v>Йошкар-Ола</v>
      </c>
      <c r="D57" s="40">
        <v>41955</v>
      </c>
      <c r="E57" s="2">
        <v>5</v>
      </c>
      <c r="F57" s="9">
        <v>88309</v>
      </c>
      <c r="G57" s="9">
        <f t="shared" si="0"/>
        <v>441545</v>
      </c>
      <c r="H57" s="2" t="str" cm="1">
        <f t="array" ref="H57">_xlfn.IFS('БАЗА (1)'!G57&gt;10000000,'Справочник (2-3)'!$G$5,AND('БАЗА (1)'!G57&lt;=10000000,'БАЗА (1)'!G57&gt;=5000000),'Справочник (2-3)'!$G$4,'БАЗА (1)'!G57&lt;5000000,'Справочник (2-3)'!$G$3)</f>
        <v>C</v>
      </c>
      <c r="I57" s="2" t="s">
        <v>49</v>
      </c>
      <c r="J57" s="2" t="str">
        <f t="shared" si="1"/>
        <v>Барсукова Ф. А.</v>
      </c>
      <c r="K57" s="44">
        <v>41955</v>
      </c>
    </row>
    <row r="58" spans="1:11" x14ac:dyDescent="0.25">
      <c r="A58" s="43">
        <v>56</v>
      </c>
      <c r="B58" s="3">
        <v>7</v>
      </c>
      <c r="C58" s="2" t="str">
        <f>VLOOKUP('БАЗА (1)'!B58,'Справочник (2-3)'!$A$3:$B$9,2,FALSE)</f>
        <v>Йошкар-Ола</v>
      </c>
      <c r="D58" s="40">
        <v>43029</v>
      </c>
      <c r="E58" s="2">
        <v>173</v>
      </c>
      <c r="F58" s="9">
        <v>40962</v>
      </c>
      <c r="G58" s="9">
        <f t="shared" si="0"/>
        <v>7086426</v>
      </c>
      <c r="H58" s="2" t="str" cm="1">
        <f t="array" ref="H58">_xlfn.IFS('БАЗА (1)'!G58&gt;10000000,'Справочник (2-3)'!$G$5,AND('БАЗА (1)'!G58&lt;=10000000,'БАЗА (1)'!G58&gt;=5000000),'Справочник (2-3)'!$G$4,'БАЗА (1)'!G58&lt;5000000,'Справочник (2-3)'!$G$3)</f>
        <v>B</v>
      </c>
      <c r="I58" s="2" t="s">
        <v>97</v>
      </c>
      <c r="J58" s="2" t="str">
        <f t="shared" si="1"/>
        <v>Пономарева С. В.</v>
      </c>
      <c r="K58" s="44">
        <v>43029</v>
      </c>
    </row>
    <row r="59" spans="1:11" x14ac:dyDescent="0.25">
      <c r="A59" s="43">
        <v>57</v>
      </c>
      <c r="B59" s="3">
        <v>6</v>
      </c>
      <c r="C59" s="2" t="str">
        <f>VLOOKUP('БАЗА (1)'!B59,'Справочник (2-3)'!$A$3:$B$9,2,FALSE)</f>
        <v>Харьков</v>
      </c>
      <c r="D59" s="40">
        <v>43083</v>
      </c>
      <c r="E59" s="2">
        <v>19</v>
      </c>
      <c r="F59" s="9">
        <v>56221</v>
      </c>
      <c r="G59" s="9">
        <f t="shared" si="0"/>
        <v>1068199</v>
      </c>
      <c r="H59" s="2" t="str" cm="1">
        <f t="array" ref="H59">_xlfn.IFS('БАЗА (1)'!G59&gt;10000000,'Справочник (2-3)'!$G$5,AND('БАЗА (1)'!G59&lt;=10000000,'БАЗА (1)'!G59&gt;=5000000),'Справочник (2-3)'!$G$4,'БАЗА (1)'!G59&lt;5000000,'Справочник (2-3)'!$G$3)</f>
        <v>C</v>
      </c>
      <c r="I59" s="2" t="s">
        <v>87</v>
      </c>
      <c r="J59" s="2" t="str">
        <f t="shared" si="1"/>
        <v>Олифер Е. Р.</v>
      </c>
      <c r="K59" s="44">
        <v>43083</v>
      </c>
    </row>
    <row r="60" spans="1:11" x14ac:dyDescent="0.25">
      <c r="A60" s="43">
        <v>58</v>
      </c>
      <c r="B60" s="3">
        <v>1</v>
      </c>
      <c r="C60" s="2" t="str">
        <f>VLOOKUP('БАЗА (1)'!B60,'Справочник (2-3)'!$A$3:$B$9,2,FALSE)</f>
        <v>Москва</v>
      </c>
      <c r="D60" s="40">
        <v>42364</v>
      </c>
      <c r="E60" s="2">
        <v>14</v>
      </c>
      <c r="F60" s="9">
        <v>20095</v>
      </c>
      <c r="G60" s="9">
        <f t="shared" si="0"/>
        <v>281330</v>
      </c>
      <c r="H60" s="2" t="str" cm="1">
        <f t="array" ref="H60">_xlfn.IFS('БАЗА (1)'!G60&gt;10000000,'Справочник (2-3)'!$G$5,AND('БАЗА (1)'!G60&lt;=10000000,'БАЗА (1)'!G60&gt;=5000000),'Справочник (2-3)'!$G$4,'БАЗА (1)'!G60&lt;5000000,'Справочник (2-3)'!$G$3)</f>
        <v>C</v>
      </c>
      <c r="I60" s="2" t="s">
        <v>64</v>
      </c>
      <c r="J60" s="2" t="str">
        <f t="shared" si="1"/>
        <v>Иванов В. Г.</v>
      </c>
      <c r="K60" s="44">
        <v>42364</v>
      </c>
    </row>
    <row r="61" spans="1:11" x14ac:dyDescent="0.25">
      <c r="A61" s="43">
        <v>59</v>
      </c>
      <c r="B61" s="3">
        <v>4</v>
      </c>
      <c r="C61" s="2" t="str">
        <f>VLOOKUP('БАЗА (1)'!B61,'Справочник (2-3)'!$A$3:$B$9,2,FALSE)</f>
        <v>Казань</v>
      </c>
      <c r="D61" s="40">
        <v>41564</v>
      </c>
      <c r="E61" s="2">
        <v>98</v>
      </c>
      <c r="F61" s="9">
        <v>91317</v>
      </c>
      <c r="G61" s="9">
        <f t="shared" si="0"/>
        <v>8949066</v>
      </c>
      <c r="H61" s="2" t="str" cm="1">
        <f t="array" ref="H61">_xlfn.IFS('БАЗА (1)'!G61&gt;10000000,'Справочник (2-3)'!$G$5,AND('БАЗА (1)'!G61&lt;=10000000,'БАЗА (1)'!G61&gt;=5000000),'Справочник (2-3)'!$G$4,'БАЗА (1)'!G61&lt;5000000,'Справочник (2-3)'!$G$3)</f>
        <v>B</v>
      </c>
      <c r="I61" s="2" t="s">
        <v>48</v>
      </c>
      <c r="J61" s="2" t="str">
        <f t="shared" si="1"/>
        <v>Бармина Ю. А.</v>
      </c>
      <c r="K61" s="44">
        <v>41564</v>
      </c>
    </row>
    <row r="62" spans="1:11" x14ac:dyDescent="0.25">
      <c r="A62" s="43">
        <v>60</v>
      </c>
      <c r="B62" s="3">
        <v>3</v>
      </c>
      <c r="C62" s="2" t="str">
        <f>VLOOKUP('БАЗА (1)'!B62,'Справочник (2-3)'!$A$3:$B$9,2,FALSE)</f>
        <v>Челябинск</v>
      </c>
      <c r="D62" s="40">
        <v>41922</v>
      </c>
      <c r="E62" s="2">
        <v>132</v>
      </c>
      <c r="F62" s="9">
        <v>76945</v>
      </c>
      <c r="G62" s="9">
        <f t="shared" si="0"/>
        <v>10156740</v>
      </c>
      <c r="H62" s="2" t="str" cm="1">
        <f t="array" ref="H62">_xlfn.IFS('БАЗА (1)'!G62&gt;10000000,'Справочник (2-3)'!$G$5,AND('БАЗА (1)'!G62&lt;=10000000,'БАЗА (1)'!G62&gt;=5000000),'Справочник (2-3)'!$G$4,'БАЗА (1)'!G62&lt;5000000,'Справочник (2-3)'!$G$3)</f>
        <v>A</v>
      </c>
      <c r="I62" s="2" t="s">
        <v>66</v>
      </c>
      <c r="J62" s="2" t="str">
        <f t="shared" si="1"/>
        <v>Ильина Т. Н.</v>
      </c>
      <c r="K62" s="44">
        <v>41922</v>
      </c>
    </row>
    <row r="63" spans="1:11" x14ac:dyDescent="0.25">
      <c r="A63" s="43">
        <v>61</v>
      </c>
      <c r="B63" s="3">
        <v>2</v>
      </c>
      <c r="C63" s="2" t="str">
        <f>VLOOKUP('БАЗА (1)'!B63,'Справочник (2-3)'!$A$3:$B$9,2,FALSE)</f>
        <v>Санкт-Петербург</v>
      </c>
      <c r="D63" s="40">
        <v>41994</v>
      </c>
      <c r="E63" s="2">
        <v>39</v>
      </c>
      <c r="F63" s="9">
        <v>24189</v>
      </c>
      <c r="G63" s="9">
        <f t="shared" si="0"/>
        <v>943371</v>
      </c>
      <c r="H63" s="2" t="str" cm="1">
        <f t="array" ref="H63">_xlfn.IFS('БАЗА (1)'!G63&gt;10000000,'Справочник (2-3)'!$G$5,AND('БАЗА (1)'!G63&lt;=10000000,'БАЗА (1)'!G63&gt;=5000000),'Справочник (2-3)'!$G$4,'БАЗА (1)'!G63&lt;5000000,'Справочник (2-3)'!$G$3)</f>
        <v>C</v>
      </c>
      <c r="I63" s="2" t="s">
        <v>50</v>
      </c>
      <c r="J63" s="2" t="str">
        <f t="shared" si="1"/>
        <v>Басова С. С.</v>
      </c>
      <c r="K63" s="44">
        <v>41994</v>
      </c>
    </row>
    <row r="64" spans="1:11" x14ac:dyDescent="0.25">
      <c r="A64" s="43">
        <v>62</v>
      </c>
      <c r="B64" s="3">
        <v>7</v>
      </c>
      <c r="C64" s="2" t="str">
        <f>VLOOKUP('БАЗА (1)'!B64,'Справочник (2-3)'!$A$3:$B$9,2,FALSE)</f>
        <v>Йошкар-Ола</v>
      </c>
      <c r="D64" s="40">
        <v>42671</v>
      </c>
      <c r="E64" s="2">
        <v>193</v>
      </c>
      <c r="F64" s="9">
        <v>49459</v>
      </c>
      <c r="G64" s="9">
        <f t="shared" si="0"/>
        <v>9545587</v>
      </c>
      <c r="H64" s="2" t="str" cm="1">
        <f t="array" ref="H64">_xlfn.IFS('БАЗА (1)'!G64&gt;10000000,'Справочник (2-3)'!$G$5,AND('БАЗА (1)'!G64&lt;=10000000,'БАЗА (1)'!G64&gt;=5000000),'Справочник (2-3)'!$G$4,'БАЗА (1)'!G64&lt;5000000,'Справочник (2-3)'!$G$3)</f>
        <v>B</v>
      </c>
      <c r="I64" s="2" t="s">
        <v>85</v>
      </c>
      <c r="J64" s="2" t="str">
        <f t="shared" si="1"/>
        <v>Минина Т. В.</v>
      </c>
      <c r="K64" s="44">
        <v>42671</v>
      </c>
    </row>
    <row r="65" spans="1:11" x14ac:dyDescent="0.25">
      <c r="A65" s="43">
        <v>63</v>
      </c>
      <c r="B65" s="3">
        <v>3</v>
      </c>
      <c r="C65" s="2" t="str">
        <f>VLOOKUP('БАЗА (1)'!B65,'Справочник (2-3)'!$A$3:$B$9,2,FALSE)</f>
        <v>Челябинск</v>
      </c>
      <c r="D65" s="40">
        <v>41961</v>
      </c>
      <c r="E65" s="2">
        <v>157</v>
      </c>
      <c r="F65" s="9">
        <v>3950</v>
      </c>
      <c r="G65" s="9">
        <f t="shared" si="0"/>
        <v>620150</v>
      </c>
      <c r="H65" s="2" t="str" cm="1">
        <f t="array" ref="H65">_xlfn.IFS('БАЗА (1)'!G65&gt;10000000,'Справочник (2-3)'!$G$5,AND('БАЗА (1)'!G65&lt;=10000000,'БАЗА (1)'!G65&gt;=5000000),'Справочник (2-3)'!$G$4,'БАЗА (1)'!G65&lt;5000000,'Справочник (2-3)'!$G$3)</f>
        <v>C</v>
      </c>
      <c r="I65" s="2" t="s">
        <v>96</v>
      </c>
      <c r="J65" s="2" t="str">
        <f t="shared" si="1"/>
        <v>Подчуфарова Ж. А.</v>
      </c>
      <c r="K65" s="44">
        <v>41961</v>
      </c>
    </row>
    <row r="66" spans="1:11" x14ac:dyDescent="0.25">
      <c r="A66" s="43">
        <v>64</v>
      </c>
      <c r="B66" s="3">
        <v>1</v>
      </c>
      <c r="C66" s="2" t="str">
        <f>VLOOKUP('БАЗА (1)'!B66,'Справочник (2-3)'!$A$3:$B$9,2,FALSE)</f>
        <v>Москва</v>
      </c>
      <c r="D66" s="40">
        <v>42724</v>
      </c>
      <c r="E66" s="2">
        <v>89</v>
      </c>
      <c r="F66" s="9">
        <v>29253</v>
      </c>
      <c r="G66" s="9">
        <f t="shared" si="0"/>
        <v>2603517</v>
      </c>
      <c r="H66" s="2" t="str" cm="1">
        <f t="array" ref="H66">_xlfn.IFS('БАЗА (1)'!G66&gt;10000000,'Справочник (2-3)'!$G$5,AND('БАЗА (1)'!G66&lt;=10000000,'БАЗА (1)'!G66&gt;=5000000),'Справочник (2-3)'!$G$4,'БАЗА (1)'!G66&lt;5000000,'Справочник (2-3)'!$G$3)</f>
        <v>C</v>
      </c>
      <c r="I66" s="2" t="s">
        <v>95</v>
      </c>
      <c r="J66" s="2" t="str">
        <f t="shared" si="1"/>
        <v>Пиканов В. П.</v>
      </c>
      <c r="K66" s="44">
        <v>42724</v>
      </c>
    </row>
    <row r="67" spans="1:11" x14ac:dyDescent="0.25">
      <c r="A67" s="43">
        <v>65</v>
      </c>
      <c r="B67" s="3">
        <v>2</v>
      </c>
      <c r="C67" s="2" t="str">
        <f>VLOOKUP('БАЗА (1)'!B67,'Справочник (2-3)'!$A$3:$B$9,2,FALSE)</f>
        <v>Санкт-Петербург</v>
      </c>
      <c r="D67" s="40">
        <v>43081</v>
      </c>
      <c r="E67" s="2">
        <v>172</v>
      </c>
      <c r="F67" s="9">
        <v>56912</v>
      </c>
      <c r="G67" s="9">
        <f t="shared" si="0"/>
        <v>9788864</v>
      </c>
      <c r="H67" s="2" t="str" cm="1">
        <f t="array" ref="H67">_xlfn.IFS('БАЗА (1)'!G67&gt;10000000,'Справочник (2-3)'!$G$5,AND('БАЗА (1)'!G67&lt;=10000000,'БАЗА (1)'!G67&gt;=5000000),'Справочник (2-3)'!$G$4,'БАЗА (1)'!G67&lt;5000000,'Справочник (2-3)'!$G$3)</f>
        <v>B</v>
      </c>
      <c r="I67" s="2" t="s">
        <v>77</v>
      </c>
      <c r="J67" s="2" t="str">
        <f t="shared" si="1"/>
        <v>Лоскутова М. В.</v>
      </c>
      <c r="K67" s="44">
        <v>43081</v>
      </c>
    </row>
    <row r="68" spans="1:11" x14ac:dyDescent="0.25">
      <c r="A68" s="43">
        <v>66</v>
      </c>
      <c r="B68" s="3">
        <v>6</v>
      </c>
      <c r="C68" s="2" t="str">
        <f>VLOOKUP('БАЗА (1)'!B68,'Справочник (2-3)'!$A$3:$B$9,2,FALSE)</f>
        <v>Харьков</v>
      </c>
      <c r="D68" s="40">
        <v>42365</v>
      </c>
      <c r="E68" s="2">
        <v>169</v>
      </c>
      <c r="F68" s="9">
        <v>11483</v>
      </c>
      <c r="G68" s="9">
        <f t="shared" ref="G68:G131" si="2">E68*F68</f>
        <v>1940627</v>
      </c>
      <c r="H68" s="2" t="str" cm="1">
        <f t="array" ref="H68">_xlfn.IFS('БАЗА (1)'!G68&gt;10000000,'Справочник (2-3)'!$G$5,AND('БАЗА (1)'!G68&lt;=10000000,'БАЗА (1)'!G68&gt;=5000000),'Справочник (2-3)'!$G$4,'БАЗА (1)'!G68&lt;5000000,'Справочник (2-3)'!$G$3)</f>
        <v>C</v>
      </c>
      <c r="I68" s="2" t="s">
        <v>51</v>
      </c>
      <c r="J68" s="2" t="str">
        <f t="shared" ref="J68:J131" si="3">LEFT(I68,FIND(" ",I68)-1)&amp;" "&amp;LEFT(MID(I68,FIND(" ",I68)+1,LEN(I68)),1)&amp;". "&amp;LEFT(MID(I68,FIND(" ",I68,FIND(" ",I68)+1)+1,LEN(I68)),1)&amp;"."</f>
        <v>Васнин В. В.</v>
      </c>
      <c r="K68" s="44">
        <v>42365</v>
      </c>
    </row>
    <row r="69" spans="1:11" x14ac:dyDescent="0.25">
      <c r="A69" s="43">
        <v>67</v>
      </c>
      <c r="B69" s="3">
        <v>6</v>
      </c>
      <c r="C69" s="2" t="str">
        <f>VLOOKUP('БАЗА (1)'!B69,'Справочник (2-3)'!$A$3:$B$9,2,FALSE)</f>
        <v>Харьков</v>
      </c>
      <c r="D69" s="40">
        <v>41986</v>
      </c>
      <c r="E69" s="2">
        <v>193</v>
      </c>
      <c r="F69" s="9">
        <v>96368</v>
      </c>
      <c r="G69" s="9">
        <f t="shared" si="2"/>
        <v>18599024</v>
      </c>
      <c r="H69" s="2" t="str" cm="1">
        <f t="array" ref="H69">_xlfn.IFS('БАЗА (1)'!G69&gt;10000000,'Справочник (2-3)'!$G$5,AND('БАЗА (1)'!G69&lt;=10000000,'БАЗА (1)'!G69&gt;=5000000),'Справочник (2-3)'!$G$4,'БАЗА (1)'!G69&lt;5000000,'Справочник (2-3)'!$G$3)</f>
        <v>A</v>
      </c>
      <c r="I69" s="2" t="s">
        <v>65</v>
      </c>
      <c r="J69" s="2" t="str">
        <f t="shared" si="3"/>
        <v>Иванова Л. Н.</v>
      </c>
      <c r="K69" s="44">
        <v>41986</v>
      </c>
    </row>
    <row r="70" spans="1:11" x14ac:dyDescent="0.25">
      <c r="A70" s="43">
        <v>68</v>
      </c>
      <c r="B70" s="3">
        <v>2</v>
      </c>
      <c r="C70" s="2" t="str">
        <f>VLOOKUP('БАЗА (1)'!B70,'Справочник (2-3)'!$A$3:$B$9,2,FALSE)</f>
        <v>Санкт-Петербург</v>
      </c>
      <c r="D70" s="40">
        <v>42659</v>
      </c>
      <c r="E70" s="2">
        <v>149</v>
      </c>
      <c r="F70" s="9">
        <v>99797</v>
      </c>
      <c r="G70" s="9">
        <f t="shared" si="2"/>
        <v>14869753</v>
      </c>
      <c r="H70" s="2" t="str" cm="1">
        <f t="array" ref="H70">_xlfn.IFS('БАЗА (1)'!G70&gt;10000000,'Справочник (2-3)'!$G$5,AND('БАЗА (1)'!G70&lt;=10000000,'БАЗА (1)'!G70&gt;=5000000),'Справочник (2-3)'!$G$4,'БАЗА (1)'!G70&lt;5000000,'Справочник (2-3)'!$G$3)</f>
        <v>A</v>
      </c>
      <c r="I70" s="2" t="s">
        <v>85</v>
      </c>
      <c r="J70" s="2" t="str">
        <f t="shared" si="3"/>
        <v>Минина Т. В.</v>
      </c>
      <c r="K70" s="44">
        <v>42659</v>
      </c>
    </row>
    <row r="71" spans="1:11" x14ac:dyDescent="0.25">
      <c r="A71" s="43">
        <v>69</v>
      </c>
      <c r="B71" s="3">
        <v>5</v>
      </c>
      <c r="C71" s="2" t="str">
        <f>VLOOKUP('БАЗА (1)'!B71,'Справочник (2-3)'!$A$3:$B$9,2,FALSE)</f>
        <v>Омск</v>
      </c>
      <c r="D71" s="40">
        <v>41592</v>
      </c>
      <c r="E71" s="2">
        <v>57</v>
      </c>
      <c r="F71" s="9">
        <v>50491</v>
      </c>
      <c r="G71" s="9">
        <f t="shared" si="2"/>
        <v>2877987</v>
      </c>
      <c r="H71" s="2" t="str" cm="1">
        <f t="array" ref="H71">_xlfn.IFS('БАЗА (1)'!G71&gt;10000000,'Справочник (2-3)'!$G$5,AND('БАЗА (1)'!G71&lt;=10000000,'БАЗА (1)'!G71&gt;=5000000),'Справочник (2-3)'!$G$4,'БАЗА (1)'!G71&lt;5000000,'Справочник (2-3)'!$G$3)</f>
        <v>C</v>
      </c>
      <c r="I71" s="2" t="s">
        <v>61</v>
      </c>
      <c r="J71" s="2" t="str">
        <f t="shared" si="3"/>
        <v>Дьякова Т. А.</v>
      </c>
      <c r="K71" s="44">
        <v>41592</v>
      </c>
    </row>
    <row r="72" spans="1:11" x14ac:dyDescent="0.25">
      <c r="A72" s="43">
        <v>70</v>
      </c>
      <c r="B72" s="3">
        <v>2</v>
      </c>
      <c r="C72" s="2" t="str">
        <f>VLOOKUP('БАЗА (1)'!B72,'Справочник (2-3)'!$A$3:$B$9,2,FALSE)</f>
        <v>Санкт-Петербург</v>
      </c>
      <c r="D72" s="40">
        <v>41956</v>
      </c>
      <c r="E72" s="2">
        <v>188</v>
      </c>
      <c r="F72" s="9">
        <v>7020</v>
      </c>
      <c r="G72" s="9">
        <f t="shared" si="2"/>
        <v>1319760</v>
      </c>
      <c r="H72" s="2" t="str" cm="1">
        <f t="array" ref="H72">_xlfn.IFS('БАЗА (1)'!G72&gt;10000000,'Справочник (2-3)'!$G$5,AND('БАЗА (1)'!G72&lt;=10000000,'БАЗА (1)'!G72&gt;=5000000),'Справочник (2-3)'!$G$4,'БАЗА (1)'!G72&lt;5000000,'Справочник (2-3)'!$G$3)</f>
        <v>C</v>
      </c>
      <c r="I72" s="2" t="s">
        <v>64</v>
      </c>
      <c r="J72" s="2" t="str">
        <f t="shared" si="3"/>
        <v>Иванов В. Г.</v>
      </c>
      <c r="K72" s="44">
        <v>41956</v>
      </c>
    </row>
    <row r="73" spans="1:11" x14ac:dyDescent="0.25">
      <c r="A73" s="43">
        <v>71</v>
      </c>
      <c r="B73" s="3">
        <v>5</v>
      </c>
      <c r="C73" s="2" t="str">
        <f>VLOOKUP('БАЗА (1)'!B73,'Справочник (2-3)'!$A$3:$B$9,2,FALSE)</f>
        <v>Омск</v>
      </c>
      <c r="D73" s="40">
        <v>43024</v>
      </c>
      <c r="E73" s="2">
        <v>103</v>
      </c>
      <c r="F73" s="9">
        <v>91452</v>
      </c>
      <c r="G73" s="9">
        <f t="shared" si="2"/>
        <v>9419556</v>
      </c>
      <c r="H73" s="2" t="str" cm="1">
        <f t="array" ref="H73">_xlfn.IFS('БАЗА (1)'!G73&gt;10000000,'Справочник (2-3)'!$G$5,AND('БАЗА (1)'!G73&lt;=10000000,'БАЗА (1)'!G73&gt;=5000000),'Справочник (2-3)'!$G$4,'БАЗА (1)'!G73&lt;5000000,'Справочник (2-3)'!$G$3)</f>
        <v>B</v>
      </c>
      <c r="I73" s="2" t="s">
        <v>95</v>
      </c>
      <c r="J73" s="2" t="str">
        <f t="shared" si="3"/>
        <v>Пиканов В. П.</v>
      </c>
      <c r="K73" s="44">
        <v>43024</v>
      </c>
    </row>
    <row r="74" spans="1:11" x14ac:dyDescent="0.25">
      <c r="A74" s="43">
        <v>72</v>
      </c>
      <c r="B74" s="3">
        <v>7</v>
      </c>
      <c r="C74" s="2" t="str">
        <f>VLOOKUP('БАЗА (1)'!B74,'Справочник (2-3)'!$A$3:$B$9,2,FALSE)</f>
        <v>Йошкар-Ола</v>
      </c>
      <c r="D74" s="40">
        <v>42297</v>
      </c>
      <c r="E74" s="2">
        <v>72</v>
      </c>
      <c r="F74" s="9">
        <v>12808</v>
      </c>
      <c r="G74" s="9">
        <f t="shared" si="2"/>
        <v>922176</v>
      </c>
      <c r="H74" s="2" t="str" cm="1">
        <f t="array" ref="H74">_xlfn.IFS('БАЗА (1)'!G74&gt;10000000,'Справочник (2-3)'!$G$5,AND('БАЗА (1)'!G74&lt;=10000000,'БАЗА (1)'!G74&gt;=5000000),'Справочник (2-3)'!$G$4,'БАЗА (1)'!G74&lt;5000000,'Справочник (2-3)'!$G$3)</f>
        <v>C</v>
      </c>
      <c r="I74" s="2" t="s">
        <v>58</v>
      </c>
      <c r="J74" s="2" t="str">
        <f t="shared" si="3"/>
        <v>Давыдова Т. К.</v>
      </c>
      <c r="K74" s="44">
        <v>42297</v>
      </c>
    </row>
    <row r="75" spans="1:11" x14ac:dyDescent="0.25">
      <c r="A75" s="43">
        <v>73</v>
      </c>
      <c r="B75" s="3">
        <v>4</v>
      </c>
      <c r="C75" s="2" t="str">
        <f>VLOOKUP('БАЗА (1)'!B75,'Справочник (2-3)'!$A$3:$B$9,2,FALSE)</f>
        <v>Казань</v>
      </c>
      <c r="D75" s="40">
        <v>41940</v>
      </c>
      <c r="E75" s="2">
        <v>177</v>
      </c>
      <c r="F75" s="9">
        <v>29427</v>
      </c>
      <c r="G75" s="9">
        <f t="shared" si="2"/>
        <v>5208579</v>
      </c>
      <c r="H75" s="2" t="str" cm="1">
        <f t="array" ref="H75">_xlfn.IFS('БАЗА (1)'!G75&gt;10000000,'Справочник (2-3)'!$G$5,AND('БАЗА (1)'!G75&lt;=10000000,'БАЗА (1)'!G75&gt;=5000000),'Справочник (2-3)'!$G$4,'БАЗА (1)'!G75&lt;5000000,'Справочник (2-3)'!$G$3)</f>
        <v>B</v>
      </c>
      <c r="I75" s="2" t="s">
        <v>57</v>
      </c>
      <c r="J75" s="2" t="str">
        <f t="shared" si="3"/>
        <v>Гудошников А. В.</v>
      </c>
      <c r="K75" s="44">
        <v>41940</v>
      </c>
    </row>
    <row r="76" spans="1:11" x14ac:dyDescent="0.25">
      <c r="A76" s="43">
        <v>74</v>
      </c>
      <c r="B76" s="3">
        <v>3</v>
      </c>
      <c r="C76" s="2" t="str">
        <f>VLOOKUP('БАЗА (1)'!B76,'Справочник (2-3)'!$A$3:$B$9,2,FALSE)</f>
        <v>Челябинск</v>
      </c>
      <c r="D76" s="40">
        <v>42664</v>
      </c>
      <c r="E76" s="2">
        <v>137</v>
      </c>
      <c r="F76" s="9">
        <v>90999</v>
      </c>
      <c r="G76" s="9">
        <f t="shared" si="2"/>
        <v>12466863</v>
      </c>
      <c r="H76" s="2" t="str" cm="1">
        <f t="array" ref="H76">_xlfn.IFS('БАЗА (1)'!G76&gt;10000000,'Справочник (2-3)'!$G$5,AND('БАЗА (1)'!G76&lt;=10000000,'БАЗА (1)'!G76&gt;=5000000),'Справочник (2-3)'!$G$4,'БАЗА (1)'!G76&lt;5000000,'Справочник (2-3)'!$G$3)</f>
        <v>A</v>
      </c>
      <c r="I76" s="2" t="s">
        <v>85</v>
      </c>
      <c r="J76" s="2" t="str">
        <f t="shared" si="3"/>
        <v>Минина Т. В.</v>
      </c>
      <c r="K76" s="44">
        <v>42664</v>
      </c>
    </row>
    <row r="77" spans="1:11" x14ac:dyDescent="0.25">
      <c r="A77" s="43">
        <v>75</v>
      </c>
      <c r="B77" s="3">
        <v>1</v>
      </c>
      <c r="C77" s="2" t="str">
        <f>VLOOKUP('БАЗА (1)'!B77,'Справочник (2-3)'!$A$3:$B$9,2,FALSE)</f>
        <v>Москва</v>
      </c>
      <c r="D77" s="40">
        <v>41989</v>
      </c>
      <c r="E77" s="2">
        <v>29</v>
      </c>
      <c r="F77" s="9">
        <v>45948</v>
      </c>
      <c r="G77" s="9">
        <f t="shared" si="2"/>
        <v>1332492</v>
      </c>
      <c r="H77" s="2" t="str" cm="1">
        <f t="array" ref="H77">_xlfn.IFS('БАЗА (1)'!G77&gt;10000000,'Справочник (2-3)'!$G$5,AND('БАЗА (1)'!G77&lt;=10000000,'БАЗА (1)'!G77&gt;=5000000),'Справочник (2-3)'!$G$4,'БАЗА (1)'!G77&lt;5000000,'Справочник (2-3)'!$G$3)</f>
        <v>C</v>
      </c>
      <c r="I77" s="2" t="s">
        <v>56</v>
      </c>
      <c r="J77" s="2" t="str">
        <f t="shared" si="3"/>
        <v>Гребенева Т. В.</v>
      </c>
      <c r="K77" s="44">
        <v>41989</v>
      </c>
    </row>
    <row r="78" spans="1:11" x14ac:dyDescent="0.25">
      <c r="A78" s="43">
        <v>76</v>
      </c>
      <c r="B78" s="3">
        <v>3</v>
      </c>
      <c r="C78" s="2" t="str">
        <f>VLOOKUP('БАЗА (1)'!B78,'Справочник (2-3)'!$A$3:$B$9,2,FALSE)</f>
        <v>Челябинск</v>
      </c>
      <c r="D78" s="40">
        <v>41606</v>
      </c>
      <c r="E78" s="2">
        <v>115</v>
      </c>
      <c r="F78" s="9">
        <v>29721</v>
      </c>
      <c r="G78" s="9">
        <f t="shared" si="2"/>
        <v>3417915</v>
      </c>
      <c r="H78" s="2" t="str" cm="1">
        <f t="array" ref="H78">_xlfn.IFS('БАЗА (1)'!G78&gt;10000000,'Справочник (2-3)'!$G$5,AND('БАЗА (1)'!G78&lt;=10000000,'БАЗА (1)'!G78&gt;=5000000),'Справочник (2-3)'!$G$4,'БАЗА (1)'!G78&lt;5000000,'Справочник (2-3)'!$G$3)</f>
        <v>C</v>
      </c>
      <c r="I78" s="2" t="s">
        <v>67</v>
      </c>
      <c r="J78" s="2" t="str">
        <f t="shared" si="3"/>
        <v>Исцелемова С. А.</v>
      </c>
      <c r="K78" s="44">
        <v>41606</v>
      </c>
    </row>
    <row r="79" spans="1:11" x14ac:dyDescent="0.25">
      <c r="A79" s="43">
        <v>77</v>
      </c>
      <c r="B79" s="3">
        <v>5</v>
      </c>
      <c r="C79" s="2" t="str">
        <f>VLOOKUP('БАЗА (1)'!B79,'Справочник (2-3)'!$A$3:$B$9,2,FALSE)</f>
        <v>Омск</v>
      </c>
      <c r="D79" s="40">
        <v>43024</v>
      </c>
      <c r="E79" s="2">
        <v>114</v>
      </c>
      <c r="F79" s="9">
        <v>34364</v>
      </c>
      <c r="G79" s="9">
        <f t="shared" si="2"/>
        <v>3917496</v>
      </c>
      <c r="H79" s="2" t="str" cm="1">
        <f t="array" ref="H79">_xlfn.IFS('БАЗА (1)'!G79&gt;10000000,'Справочник (2-3)'!$G$5,AND('БАЗА (1)'!G79&lt;=10000000,'БАЗА (1)'!G79&gt;=5000000),'Справочник (2-3)'!$G$4,'БАЗА (1)'!G79&lt;5000000,'Справочник (2-3)'!$G$3)</f>
        <v>C</v>
      </c>
      <c r="I79" s="2" t="s">
        <v>79</v>
      </c>
      <c r="J79" s="2" t="str">
        <f t="shared" si="3"/>
        <v>Лыхина Т. А.</v>
      </c>
      <c r="K79" s="44">
        <v>43024</v>
      </c>
    </row>
    <row r="80" spans="1:11" x14ac:dyDescent="0.25">
      <c r="A80" s="43">
        <v>78</v>
      </c>
      <c r="B80" s="3">
        <v>6</v>
      </c>
      <c r="C80" s="2" t="str">
        <f>VLOOKUP('БАЗА (1)'!B80,'Справочник (2-3)'!$A$3:$B$9,2,FALSE)</f>
        <v>Харьков</v>
      </c>
      <c r="D80" s="40">
        <v>43027</v>
      </c>
      <c r="E80" s="2">
        <v>179</v>
      </c>
      <c r="F80" s="9">
        <v>99140</v>
      </c>
      <c r="G80" s="9">
        <f t="shared" si="2"/>
        <v>17746060</v>
      </c>
      <c r="H80" s="2" t="str" cm="1">
        <f t="array" ref="H80">_xlfn.IFS('БАЗА (1)'!G80&gt;10000000,'Справочник (2-3)'!$G$5,AND('БАЗА (1)'!G80&lt;=10000000,'БАЗА (1)'!G80&gt;=5000000),'Справочник (2-3)'!$G$4,'БАЗА (1)'!G80&lt;5000000,'Справочник (2-3)'!$G$3)</f>
        <v>A</v>
      </c>
      <c r="I80" s="2" t="s">
        <v>67</v>
      </c>
      <c r="J80" s="2" t="str">
        <f t="shared" si="3"/>
        <v>Исцелемова С. А.</v>
      </c>
      <c r="K80" s="44">
        <v>43027</v>
      </c>
    </row>
    <row r="81" spans="1:11" x14ac:dyDescent="0.25">
      <c r="A81" s="43">
        <v>79</v>
      </c>
      <c r="B81" s="3">
        <v>7</v>
      </c>
      <c r="C81" s="2" t="str">
        <f>VLOOKUP('БАЗА (1)'!B81,'Справочник (2-3)'!$A$3:$B$9,2,FALSE)</f>
        <v>Йошкар-Ола</v>
      </c>
      <c r="D81" s="40">
        <v>41559</v>
      </c>
      <c r="E81" s="2">
        <v>163</v>
      </c>
      <c r="F81" s="9">
        <v>92224</v>
      </c>
      <c r="G81" s="9">
        <f t="shared" si="2"/>
        <v>15032512</v>
      </c>
      <c r="H81" s="2" t="str" cm="1">
        <f t="array" ref="H81">_xlfn.IFS('БАЗА (1)'!G81&gt;10000000,'Справочник (2-3)'!$G$5,AND('БАЗА (1)'!G81&lt;=10000000,'БАЗА (1)'!G81&gt;=5000000),'Справочник (2-3)'!$G$4,'БАЗА (1)'!G81&lt;5000000,'Справочник (2-3)'!$G$3)</f>
        <v>A</v>
      </c>
      <c r="I81" s="2" t="s">
        <v>90</v>
      </c>
      <c r="J81" s="2" t="str">
        <f t="shared" si="3"/>
        <v>Павлова Н. И.</v>
      </c>
      <c r="K81" s="44">
        <v>41559</v>
      </c>
    </row>
    <row r="82" spans="1:11" x14ac:dyDescent="0.25">
      <c r="A82" s="43">
        <v>80</v>
      </c>
      <c r="B82" s="3">
        <v>2</v>
      </c>
      <c r="C82" s="2" t="str">
        <f>VLOOKUP('БАЗА (1)'!B82,'Справочник (2-3)'!$A$3:$B$9,2,FALSE)</f>
        <v>Санкт-Петербург</v>
      </c>
      <c r="D82" s="40">
        <v>43062</v>
      </c>
      <c r="E82" s="2">
        <v>99</v>
      </c>
      <c r="F82" s="9">
        <v>60862</v>
      </c>
      <c r="G82" s="9">
        <f t="shared" si="2"/>
        <v>6025338</v>
      </c>
      <c r="H82" s="2" t="str" cm="1">
        <f t="array" ref="H82">_xlfn.IFS('БАЗА (1)'!G82&gt;10000000,'Справочник (2-3)'!$G$5,AND('БАЗА (1)'!G82&lt;=10000000,'БАЗА (1)'!G82&gt;=5000000),'Справочник (2-3)'!$G$4,'БАЗА (1)'!G82&lt;5000000,'Справочник (2-3)'!$G$3)</f>
        <v>B</v>
      </c>
      <c r="I82" s="2" t="s">
        <v>79</v>
      </c>
      <c r="J82" s="2" t="str">
        <f t="shared" si="3"/>
        <v>Лыхина Т. А.</v>
      </c>
      <c r="K82" s="44">
        <v>43062</v>
      </c>
    </row>
    <row r="83" spans="1:11" x14ac:dyDescent="0.25">
      <c r="A83" s="43">
        <v>81</v>
      </c>
      <c r="B83" s="3">
        <v>4</v>
      </c>
      <c r="C83" s="2" t="str">
        <f>VLOOKUP('БАЗА (1)'!B83,'Справочник (2-3)'!$A$3:$B$9,2,FALSE)</f>
        <v>Казань</v>
      </c>
      <c r="D83" s="40">
        <v>42696</v>
      </c>
      <c r="E83" s="2">
        <v>150</v>
      </c>
      <c r="F83" s="9">
        <v>51901</v>
      </c>
      <c r="G83" s="9">
        <f t="shared" si="2"/>
        <v>7785150</v>
      </c>
      <c r="H83" s="2" t="str" cm="1">
        <f t="array" ref="H83">_xlfn.IFS('БАЗА (1)'!G83&gt;10000000,'Справочник (2-3)'!$G$5,AND('БАЗА (1)'!G83&lt;=10000000,'БАЗА (1)'!G83&gt;=5000000),'Справочник (2-3)'!$G$4,'БАЗА (1)'!G83&lt;5000000,'Справочник (2-3)'!$G$3)</f>
        <v>B</v>
      </c>
      <c r="I83" s="2" t="s">
        <v>55</v>
      </c>
      <c r="J83" s="2" t="str">
        <f t="shared" si="3"/>
        <v>Гордеева А. П.</v>
      </c>
      <c r="K83" s="44">
        <v>42696</v>
      </c>
    </row>
    <row r="84" spans="1:11" x14ac:dyDescent="0.25">
      <c r="A84" s="43">
        <v>82</v>
      </c>
      <c r="B84" s="3">
        <v>2</v>
      </c>
      <c r="C84" s="2" t="str">
        <f>VLOOKUP('БАЗА (1)'!B84,'Справочник (2-3)'!$A$3:$B$9,2,FALSE)</f>
        <v>Санкт-Петербург</v>
      </c>
      <c r="D84" s="40">
        <v>41598</v>
      </c>
      <c r="E84" s="2">
        <v>119</v>
      </c>
      <c r="F84" s="9">
        <v>77585</v>
      </c>
      <c r="G84" s="9">
        <f t="shared" si="2"/>
        <v>9232615</v>
      </c>
      <c r="H84" s="2" t="str" cm="1">
        <f t="array" ref="H84">_xlfn.IFS('БАЗА (1)'!G84&gt;10000000,'Справочник (2-3)'!$G$5,AND('БАЗА (1)'!G84&lt;=10000000,'БАЗА (1)'!G84&gt;=5000000),'Справочник (2-3)'!$G$4,'БАЗА (1)'!G84&lt;5000000,'Справочник (2-3)'!$G$3)</f>
        <v>B</v>
      </c>
      <c r="I84" s="2" t="s">
        <v>77</v>
      </c>
      <c r="J84" s="2" t="str">
        <f t="shared" si="3"/>
        <v>Лоскутова М. В.</v>
      </c>
      <c r="K84" s="44">
        <v>41598</v>
      </c>
    </row>
    <row r="85" spans="1:11" x14ac:dyDescent="0.25">
      <c r="A85" s="43">
        <v>83</v>
      </c>
      <c r="B85" s="3">
        <v>2</v>
      </c>
      <c r="C85" s="2" t="str">
        <f>VLOOKUP('БАЗА (1)'!B85,'Справочник (2-3)'!$A$3:$B$9,2,FALSE)</f>
        <v>Санкт-Петербург</v>
      </c>
      <c r="D85" s="40">
        <v>42667</v>
      </c>
      <c r="E85" s="2">
        <v>168</v>
      </c>
      <c r="F85" s="9">
        <v>25362</v>
      </c>
      <c r="G85" s="9">
        <f t="shared" si="2"/>
        <v>4260816</v>
      </c>
      <c r="H85" s="2" t="str" cm="1">
        <f t="array" ref="H85">_xlfn.IFS('БАЗА (1)'!G85&gt;10000000,'Справочник (2-3)'!$G$5,AND('БАЗА (1)'!G85&lt;=10000000,'БАЗА (1)'!G85&gt;=5000000),'Справочник (2-3)'!$G$4,'БАЗА (1)'!G85&lt;5000000,'Справочник (2-3)'!$G$3)</f>
        <v>C</v>
      </c>
      <c r="I85" s="2" t="s">
        <v>48</v>
      </c>
      <c r="J85" s="2" t="str">
        <f t="shared" si="3"/>
        <v>Бармина Ю. А.</v>
      </c>
      <c r="K85" s="44">
        <v>42667</v>
      </c>
    </row>
    <row r="86" spans="1:11" x14ac:dyDescent="0.25">
      <c r="A86" s="43">
        <v>84</v>
      </c>
      <c r="B86" s="3">
        <v>2</v>
      </c>
      <c r="C86" s="2" t="str">
        <f>VLOOKUP('БАЗА (1)'!B86,'Справочник (2-3)'!$A$3:$B$9,2,FALSE)</f>
        <v>Санкт-Петербург</v>
      </c>
      <c r="D86" s="40">
        <v>43052</v>
      </c>
      <c r="E86" s="2">
        <v>80</v>
      </c>
      <c r="F86" s="9">
        <v>51773</v>
      </c>
      <c r="G86" s="9">
        <f t="shared" si="2"/>
        <v>4141840</v>
      </c>
      <c r="H86" s="2" t="str" cm="1">
        <f t="array" ref="H86">_xlfn.IFS('БАЗА (1)'!G86&gt;10000000,'Справочник (2-3)'!$G$5,AND('БАЗА (1)'!G86&lt;=10000000,'БАЗА (1)'!G86&gt;=5000000),'Справочник (2-3)'!$G$4,'БАЗА (1)'!G86&lt;5000000,'Справочник (2-3)'!$G$3)</f>
        <v>C</v>
      </c>
      <c r="I86" s="2" t="s">
        <v>79</v>
      </c>
      <c r="J86" s="2" t="str">
        <f t="shared" si="3"/>
        <v>Лыхина Т. А.</v>
      </c>
      <c r="K86" s="44">
        <v>43052</v>
      </c>
    </row>
    <row r="87" spans="1:11" x14ac:dyDescent="0.25">
      <c r="A87" s="43">
        <v>85</v>
      </c>
      <c r="B87" s="3">
        <v>5</v>
      </c>
      <c r="C87" s="2" t="str">
        <f>VLOOKUP('БАЗА (1)'!B87,'Справочник (2-3)'!$A$3:$B$9,2,FALSE)</f>
        <v>Омск</v>
      </c>
      <c r="D87" s="40">
        <v>41619</v>
      </c>
      <c r="E87" s="2">
        <v>62</v>
      </c>
      <c r="F87" s="9">
        <v>64743</v>
      </c>
      <c r="G87" s="9">
        <f t="shared" si="2"/>
        <v>4014066</v>
      </c>
      <c r="H87" s="2" t="str" cm="1">
        <f t="array" ref="H87">_xlfn.IFS('БАЗА (1)'!G87&gt;10000000,'Справочник (2-3)'!$G$5,AND('БАЗА (1)'!G87&lt;=10000000,'БАЗА (1)'!G87&gt;=5000000),'Справочник (2-3)'!$G$4,'БАЗА (1)'!G87&lt;5000000,'Справочник (2-3)'!$G$3)</f>
        <v>C</v>
      </c>
      <c r="I87" s="2" t="s">
        <v>67</v>
      </c>
      <c r="J87" s="2" t="str">
        <f t="shared" si="3"/>
        <v>Исцелемова С. А.</v>
      </c>
      <c r="K87" s="44">
        <v>41619</v>
      </c>
    </row>
    <row r="88" spans="1:11" x14ac:dyDescent="0.25">
      <c r="A88" s="43">
        <v>86</v>
      </c>
      <c r="B88" s="3">
        <v>7</v>
      </c>
      <c r="C88" s="2" t="str">
        <f>VLOOKUP('БАЗА (1)'!B88,'Справочник (2-3)'!$A$3:$B$9,2,FALSE)</f>
        <v>Йошкар-Ола</v>
      </c>
      <c r="D88" s="40">
        <v>41961</v>
      </c>
      <c r="E88" s="2">
        <v>131</v>
      </c>
      <c r="F88" s="9">
        <v>43165</v>
      </c>
      <c r="G88" s="9">
        <f t="shared" si="2"/>
        <v>5654615</v>
      </c>
      <c r="H88" s="2" t="str" cm="1">
        <f t="array" ref="H88">_xlfn.IFS('БАЗА (1)'!G88&gt;10000000,'Справочник (2-3)'!$G$5,AND('БАЗА (1)'!G88&lt;=10000000,'БАЗА (1)'!G88&gt;=5000000),'Справочник (2-3)'!$G$4,'БАЗА (1)'!G88&lt;5000000,'Справочник (2-3)'!$G$3)</f>
        <v>B</v>
      </c>
      <c r="I88" s="2" t="s">
        <v>55</v>
      </c>
      <c r="J88" s="2" t="str">
        <f t="shared" si="3"/>
        <v>Гордеева А. П.</v>
      </c>
      <c r="K88" s="44">
        <v>41961</v>
      </c>
    </row>
    <row r="89" spans="1:11" x14ac:dyDescent="0.25">
      <c r="A89" s="43">
        <v>87</v>
      </c>
      <c r="B89" s="3">
        <v>7</v>
      </c>
      <c r="C89" s="2" t="str">
        <f>VLOOKUP('БАЗА (1)'!B89,'Справочник (2-3)'!$A$3:$B$9,2,FALSE)</f>
        <v>Йошкар-Ола</v>
      </c>
      <c r="D89" s="40">
        <v>41956</v>
      </c>
      <c r="E89" s="2">
        <v>101</v>
      </c>
      <c r="F89" s="9">
        <v>64554</v>
      </c>
      <c r="G89" s="9">
        <f t="shared" si="2"/>
        <v>6519954</v>
      </c>
      <c r="H89" s="2" t="str" cm="1">
        <f t="array" ref="H89">_xlfn.IFS('БАЗА (1)'!G89&gt;10000000,'Справочник (2-3)'!$G$5,AND('БАЗА (1)'!G89&lt;=10000000,'БАЗА (1)'!G89&gt;=5000000),'Справочник (2-3)'!$G$4,'БАЗА (1)'!G89&lt;5000000,'Справочник (2-3)'!$G$3)</f>
        <v>B</v>
      </c>
      <c r="I89" s="2" t="s">
        <v>69</v>
      </c>
      <c r="J89" s="2" t="str">
        <f t="shared" si="3"/>
        <v>Каскеева Е. А.</v>
      </c>
      <c r="K89" s="44">
        <v>41956</v>
      </c>
    </row>
    <row r="90" spans="1:11" x14ac:dyDescent="0.25">
      <c r="A90" s="43">
        <v>88</v>
      </c>
      <c r="B90" s="3">
        <v>3</v>
      </c>
      <c r="C90" s="2" t="str">
        <f>VLOOKUP('БАЗА (1)'!B90,'Справочник (2-3)'!$A$3:$B$9,2,FALSE)</f>
        <v>Челябинск</v>
      </c>
      <c r="D90" s="40">
        <v>42667</v>
      </c>
      <c r="E90" s="2">
        <v>193</v>
      </c>
      <c r="F90" s="9">
        <v>48357</v>
      </c>
      <c r="G90" s="9">
        <f t="shared" si="2"/>
        <v>9332901</v>
      </c>
      <c r="H90" s="2" t="str" cm="1">
        <f t="array" ref="H90">_xlfn.IFS('БАЗА (1)'!G90&gt;10000000,'Справочник (2-3)'!$G$5,AND('БАЗА (1)'!G90&lt;=10000000,'БАЗА (1)'!G90&gt;=5000000),'Справочник (2-3)'!$G$4,'БАЗА (1)'!G90&lt;5000000,'Справочник (2-3)'!$G$3)</f>
        <v>B</v>
      </c>
      <c r="I90" s="2" t="s">
        <v>45</v>
      </c>
      <c r="J90" s="2" t="str">
        <f t="shared" si="3"/>
        <v>Абалтусова В. Г.</v>
      </c>
      <c r="K90" s="44">
        <v>42667</v>
      </c>
    </row>
    <row r="91" spans="1:11" x14ac:dyDescent="0.25">
      <c r="A91" s="43">
        <v>89</v>
      </c>
      <c r="B91" s="3">
        <v>6</v>
      </c>
      <c r="C91" s="2" t="str">
        <f>VLOOKUP('БАЗА (1)'!B91,'Справочник (2-3)'!$A$3:$B$9,2,FALSE)</f>
        <v>Харьков</v>
      </c>
      <c r="D91" s="40">
        <v>42659</v>
      </c>
      <c r="E91" s="2">
        <v>93</v>
      </c>
      <c r="F91" s="9">
        <v>2361</v>
      </c>
      <c r="G91" s="9">
        <f t="shared" si="2"/>
        <v>219573</v>
      </c>
      <c r="H91" s="2" t="str" cm="1">
        <f t="array" ref="H91">_xlfn.IFS('БАЗА (1)'!G91&gt;10000000,'Справочник (2-3)'!$G$5,AND('БАЗА (1)'!G91&lt;=10000000,'БАЗА (1)'!G91&gt;=5000000),'Справочник (2-3)'!$G$4,'БАЗА (1)'!G91&lt;5000000,'Справочник (2-3)'!$G$3)</f>
        <v>C</v>
      </c>
      <c r="I91" s="2" t="s">
        <v>94</v>
      </c>
      <c r="J91" s="2" t="str">
        <f t="shared" si="3"/>
        <v>Петрушкевич О. В.</v>
      </c>
      <c r="K91" s="44">
        <v>42659</v>
      </c>
    </row>
    <row r="92" spans="1:11" x14ac:dyDescent="0.25">
      <c r="A92" s="43">
        <v>90</v>
      </c>
      <c r="B92" s="3">
        <v>2</v>
      </c>
      <c r="C92" s="2" t="str">
        <f>VLOOKUP('БАЗА (1)'!B92,'Справочник (2-3)'!$A$3:$B$9,2,FALSE)</f>
        <v>Санкт-Петербург</v>
      </c>
      <c r="D92" s="40">
        <v>43082</v>
      </c>
      <c r="E92" s="2">
        <v>99</v>
      </c>
      <c r="F92" s="9">
        <v>85385</v>
      </c>
      <c r="G92" s="9">
        <f t="shared" si="2"/>
        <v>8453115</v>
      </c>
      <c r="H92" s="2" t="str" cm="1">
        <f t="array" ref="H92">_xlfn.IFS('БАЗА (1)'!G92&gt;10000000,'Справочник (2-3)'!$G$5,AND('БАЗА (1)'!G92&lt;=10000000,'БАЗА (1)'!G92&gt;=5000000),'Справочник (2-3)'!$G$4,'БАЗА (1)'!G92&lt;5000000,'Справочник (2-3)'!$G$3)</f>
        <v>B</v>
      </c>
      <c r="I92" s="2" t="s">
        <v>46</v>
      </c>
      <c r="J92" s="2" t="str">
        <f t="shared" si="3"/>
        <v>Анфалова Л. Р.</v>
      </c>
      <c r="K92" s="44">
        <v>43082</v>
      </c>
    </row>
    <row r="93" spans="1:11" x14ac:dyDescent="0.25">
      <c r="A93" s="43">
        <v>91</v>
      </c>
      <c r="B93" s="3">
        <v>6</v>
      </c>
      <c r="C93" s="2" t="str">
        <f>VLOOKUP('БАЗА (1)'!B93,'Справочник (2-3)'!$A$3:$B$9,2,FALSE)</f>
        <v>Харьков</v>
      </c>
      <c r="D93" s="40">
        <v>41569</v>
      </c>
      <c r="E93" s="2">
        <v>88</v>
      </c>
      <c r="F93" s="9">
        <v>25175</v>
      </c>
      <c r="G93" s="9">
        <f t="shared" si="2"/>
        <v>2215400</v>
      </c>
      <c r="H93" s="2" t="str" cm="1">
        <f t="array" ref="H93">_xlfn.IFS('БАЗА (1)'!G93&gt;10000000,'Справочник (2-3)'!$G$5,AND('БАЗА (1)'!G93&lt;=10000000,'БАЗА (1)'!G93&gt;=5000000),'Справочник (2-3)'!$G$4,'БАЗА (1)'!G93&lt;5000000,'Справочник (2-3)'!$G$3)</f>
        <v>C</v>
      </c>
      <c r="I93" s="2" t="s">
        <v>84</v>
      </c>
      <c r="J93" s="2" t="str">
        <f t="shared" si="3"/>
        <v>Минина Л. А.</v>
      </c>
      <c r="K93" s="44">
        <v>41569</v>
      </c>
    </row>
    <row r="94" spans="1:11" x14ac:dyDescent="0.25">
      <c r="A94" s="43">
        <v>92</v>
      </c>
      <c r="B94" s="3">
        <v>7</v>
      </c>
      <c r="C94" s="2" t="str">
        <f>VLOOKUP('БАЗА (1)'!B94,'Справочник (2-3)'!$A$3:$B$9,2,FALSE)</f>
        <v>Йошкар-Ола</v>
      </c>
      <c r="D94" s="40">
        <v>43049</v>
      </c>
      <c r="E94" s="2">
        <v>186</v>
      </c>
      <c r="F94" s="9">
        <v>13570</v>
      </c>
      <c r="G94" s="9">
        <f t="shared" si="2"/>
        <v>2524020</v>
      </c>
      <c r="H94" s="2" t="str" cm="1">
        <f t="array" ref="H94">_xlfn.IFS('БАЗА (1)'!G94&gt;10000000,'Справочник (2-3)'!$G$5,AND('БАЗА (1)'!G94&lt;=10000000,'БАЗА (1)'!G94&gt;=5000000),'Справочник (2-3)'!$G$4,'БАЗА (1)'!G94&lt;5000000,'Справочник (2-3)'!$G$3)</f>
        <v>C</v>
      </c>
      <c r="I94" s="2" t="s">
        <v>46</v>
      </c>
      <c r="J94" s="2" t="str">
        <f t="shared" si="3"/>
        <v>Анфалова Л. Р.</v>
      </c>
      <c r="K94" s="44">
        <v>43049</v>
      </c>
    </row>
    <row r="95" spans="1:11" x14ac:dyDescent="0.25">
      <c r="A95" s="43">
        <v>93</v>
      </c>
      <c r="B95" s="3">
        <v>4</v>
      </c>
      <c r="C95" s="2" t="str">
        <f>VLOOKUP('БАЗА (1)'!B95,'Справочник (2-3)'!$A$3:$B$9,2,FALSE)</f>
        <v>Казань</v>
      </c>
      <c r="D95" s="40">
        <v>43036</v>
      </c>
      <c r="E95" s="2">
        <v>124</v>
      </c>
      <c r="F95" s="9">
        <v>54739</v>
      </c>
      <c r="G95" s="9">
        <f t="shared" si="2"/>
        <v>6787636</v>
      </c>
      <c r="H95" s="2" t="str" cm="1">
        <f t="array" ref="H95">_xlfn.IFS('БАЗА (1)'!G95&gt;10000000,'Справочник (2-3)'!$G$5,AND('БАЗА (1)'!G95&lt;=10000000,'БАЗА (1)'!G95&gt;=5000000),'Справочник (2-3)'!$G$4,'БАЗА (1)'!G95&lt;5000000,'Справочник (2-3)'!$G$3)</f>
        <v>B</v>
      </c>
      <c r="I95" s="2" t="s">
        <v>72</v>
      </c>
      <c r="J95" s="2" t="str">
        <f t="shared" si="3"/>
        <v>Коновалов П. И.</v>
      </c>
      <c r="K95" s="44">
        <v>43036</v>
      </c>
    </row>
    <row r="96" spans="1:11" x14ac:dyDescent="0.25">
      <c r="A96" s="43">
        <v>94</v>
      </c>
      <c r="B96" s="3">
        <v>3</v>
      </c>
      <c r="C96" s="2" t="str">
        <f>VLOOKUP('БАЗА (1)'!B96,'Справочник (2-3)'!$A$3:$B$9,2,FALSE)</f>
        <v>Челябинск</v>
      </c>
      <c r="D96" s="40">
        <v>43066</v>
      </c>
      <c r="E96" s="2">
        <v>35</v>
      </c>
      <c r="F96" s="9">
        <v>67099</v>
      </c>
      <c r="G96" s="9">
        <f t="shared" si="2"/>
        <v>2348465</v>
      </c>
      <c r="H96" s="2" t="str" cm="1">
        <f t="array" ref="H96">_xlfn.IFS('БАЗА (1)'!G96&gt;10000000,'Справочник (2-3)'!$G$5,AND('БАЗА (1)'!G96&lt;=10000000,'БАЗА (1)'!G96&gt;=5000000),'Справочник (2-3)'!$G$4,'БАЗА (1)'!G96&lt;5000000,'Справочник (2-3)'!$G$3)</f>
        <v>C</v>
      </c>
      <c r="I96" s="2" t="s">
        <v>82</v>
      </c>
      <c r="J96" s="2" t="str">
        <f t="shared" si="3"/>
        <v>Меркушев А. С.</v>
      </c>
      <c r="K96" s="44">
        <v>43066</v>
      </c>
    </row>
    <row r="97" spans="1:11" x14ac:dyDescent="0.25">
      <c r="A97" s="43">
        <v>95</v>
      </c>
      <c r="B97" s="3">
        <v>5</v>
      </c>
      <c r="C97" s="2" t="str">
        <f>VLOOKUP('БАЗА (1)'!B97,'Справочник (2-3)'!$A$3:$B$9,2,FALSE)</f>
        <v>Омск</v>
      </c>
      <c r="D97" s="40">
        <v>41565</v>
      </c>
      <c r="E97" s="2">
        <v>98</v>
      </c>
      <c r="F97" s="9">
        <v>23521</v>
      </c>
      <c r="G97" s="9">
        <f t="shared" si="2"/>
        <v>2305058</v>
      </c>
      <c r="H97" s="2" t="str" cm="1">
        <f t="array" ref="H97">_xlfn.IFS('БАЗА (1)'!G97&gt;10000000,'Справочник (2-3)'!$G$5,AND('БАЗА (1)'!G97&lt;=10000000,'БАЗА (1)'!G97&gt;=5000000),'Справочник (2-3)'!$G$4,'БАЗА (1)'!G97&lt;5000000,'Справочник (2-3)'!$G$3)</f>
        <v>C</v>
      </c>
      <c r="I97" s="2" t="s">
        <v>59</v>
      </c>
      <c r="J97" s="2" t="str">
        <f t="shared" si="3"/>
        <v>Демидова Е. Б.</v>
      </c>
      <c r="K97" s="44">
        <v>41565</v>
      </c>
    </row>
    <row r="98" spans="1:11" x14ac:dyDescent="0.25">
      <c r="A98" s="43">
        <v>96</v>
      </c>
      <c r="B98" s="3">
        <v>6</v>
      </c>
      <c r="C98" s="2" t="str">
        <f>VLOOKUP('БАЗА (1)'!B98,'Справочник (2-3)'!$A$3:$B$9,2,FALSE)</f>
        <v>Харьков</v>
      </c>
      <c r="D98" s="40">
        <v>42322</v>
      </c>
      <c r="E98" s="2">
        <v>92</v>
      </c>
      <c r="F98" s="9">
        <v>13952</v>
      </c>
      <c r="G98" s="9">
        <f t="shared" si="2"/>
        <v>1283584</v>
      </c>
      <c r="H98" s="2" t="str" cm="1">
        <f t="array" ref="H98">_xlfn.IFS('БАЗА (1)'!G98&gt;10000000,'Справочник (2-3)'!$G$5,AND('БАЗА (1)'!G98&lt;=10000000,'БАЗА (1)'!G98&gt;=5000000),'Справочник (2-3)'!$G$4,'БАЗА (1)'!G98&lt;5000000,'Справочник (2-3)'!$G$3)</f>
        <v>C</v>
      </c>
      <c r="I98" s="2" t="s">
        <v>71</v>
      </c>
      <c r="J98" s="2" t="str">
        <f t="shared" si="3"/>
        <v>Клепизонова В. А.</v>
      </c>
      <c r="K98" s="44">
        <v>42322</v>
      </c>
    </row>
    <row r="99" spans="1:11" x14ac:dyDescent="0.25">
      <c r="A99" s="43">
        <v>97</v>
      </c>
      <c r="B99" s="3">
        <v>3</v>
      </c>
      <c r="C99" s="2" t="str">
        <f>VLOOKUP('БАЗА (1)'!B99,'Справочник (2-3)'!$A$3:$B$9,2,FALSE)</f>
        <v>Челябинск</v>
      </c>
      <c r="D99" s="40">
        <v>43065</v>
      </c>
      <c r="E99" s="2">
        <v>70</v>
      </c>
      <c r="F99" s="9">
        <v>52841</v>
      </c>
      <c r="G99" s="9">
        <f t="shared" si="2"/>
        <v>3698870</v>
      </c>
      <c r="H99" s="2" t="str" cm="1">
        <f t="array" ref="H99">_xlfn.IFS('БАЗА (1)'!G99&gt;10000000,'Справочник (2-3)'!$G$5,AND('БАЗА (1)'!G99&lt;=10000000,'БАЗА (1)'!G99&gt;=5000000),'Справочник (2-3)'!$G$4,'БАЗА (1)'!G99&lt;5000000,'Справочник (2-3)'!$G$3)</f>
        <v>C</v>
      </c>
      <c r="I99" s="2" t="s">
        <v>63</v>
      </c>
      <c r="J99" s="2" t="str">
        <f t="shared" si="3"/>
        <v>Зуева Е. Ю.</v>
      </c>
      <c r="K99" s="44">
        <v>43065</v>
      </c>
    </row>
    <row r="100" spans="1:11" x14ac:dyDescent="0.25">
      <c r="A100" s="43">
        <v>98</v>
      </c>
      <c r="B100" s="3">
        <v>5</v>
      </c>
      <c r="C100" s="2" t="str">
        <f>VLOOKUP('БАЗА (1)'!B100,'Справочник (2-3)'!$A$3:$B$9,2,FALSE)</f>
        <v>Омск</v>
      </c>
      <c r="D100" s="40">
        <v>42667</v>
      </c>
      <c r="E100" s="2">
        <v>84</v>
      </c>
      <c r="F100" s="9">
        <v>16140</v>
      </c>
      <c r="G100" s="9">
        <f t="shared" si="2"/>
        <v>1355760</v>
      </c>
      <c r="H100" s="2" t="str" cm="1">
        <f t="array" ref="H100">_xlfn.IFS('БАЗА (1)'!G100&gt;10000000,'Справочник (2-3)'!$G$5,AND('БАЗА (1)'!G100&lt;=10000000,'БАЗА (1)'!G100&gt;=5000000),'Справочник (2-3)'!$G$4,'БАЗА (1)'!G100&lt;5000000,'Справочник (2-3)'!$G$3)</f>
        <v>C</v>
      </c>
      <c r="I100" s="2" t="s">
        <v>71</v>
      </c>
      <c r="J100" s="2" t="str">
        <f t="shared" si="3"/>
        <v>Клепизонова В. А.</v>
      </c>
      <c r="K100" s="44">
        <v>42667</v>
      </c>
    </row>
    <row r="101" spans="1:11" x14ac:dyDescent="0.25">
      <c r="A101" s="43">
        <v>99</v>
      </c>
      <c r="B101" s="3">
        <v>4</v>
      </c>
      <c r="C101" s="2" t="str">
        <f>VLOOKUP('БАЗА (1)'!B101,'Справочник (2-3)'!$A$3:$B$9,2,FALSE)</f>
        <v>Казань</v>
      </c>
      <c r="D101" s="40">
        <v>41953</v>
      </c>
      <c r="E101" s="2">
        <v>105</v>
      </c>
      <c r="F101" s="9">
        <v>18739</v>
      </c>
      <c r="G101" s="9">
        <f t="shared" si="2"/>
        <v>1967595</v>
      </c>
      <c r="H101" s="2" t="str" cm="1">
        <f t="array" ref="H101">_xlfn.IFS('БАЗА (1)'!G101&gt;10000000,'Справочник (2-3)'!$G$5,AND('БАЗА (1)'!G101&lt;=10000000,'БАЗА (1)'!G101&gt;=5000000),'Справочник (2-3)'!$G$4,'БАЗА (1)'!G101&lt;5000000,'Справочник (2-3)'!$G$3)</f>
        <v>C</v>
      </c>
      <c r="I101" s="2" t="s">
        <v>84</v>
      </c>
      <c r="J101" s="2" t="str">
        <f t="shared" si="3"/>
        <v>Минина Л. А.</v>
      </c>
      <c r="K101" s="44">
        <v>41953</v>
      </c>
    </row>
    <row r="102" spans="1:11" x14ac:dyDescent="0.25">
      <c r="A102" s="43">
        <v>100</v>
      </c>
      <c r="B102" s="3">
        <v>2</v>
      </c>
      <c r="C102" s="2" t="str">
        <f>VLOOKUP('БАЗА (1)'!B102,'Справочник (2-3)'!$A$3:$B$9,2,FALSE)</f>
        <v>Санкт-Петербург</v>
      </c>
      <c r="D102" s="40">
        <v>42718</v>
      </c>
      <c r="E102" s="2">
        <v>44</v>
      </c>
      <c r="F102" s="9">
        <v>64874</v>
      </c>
      <c r="G102" s="9">
        <f t="shared" si="2"/>
        <v>2854456</v>
      </c>
      <c r="H102" s="2" t="str" cm="1">
        <f t="array" ref="H102">_xlfn.IFS('БАЗА (1)'!G102&gt;10000000,'Справочник (2-3)'!$G$5,AND('БАЗА (1)'!G102&lt;=10000000,'БАЗА (1)'!G102&gt;=5000000),'Справочник (2-3)'!$G$4,'БАЗА (1)'!G102&lt;5000000,'Справочник (2-3)'!$G$3)</f>
        <v>C</v>
      </c>
      <c r="I102" s="2" t="s">
        <v>88</v>
      </c>
      <c r="J102" s="2" t="str">
        <f t="shared" si="3"/>
        <v>Ользатиева Л. Г.</v>
      </c>
      <c r="K102" s="44">
        <v>42718</v>
      </c>
    </row>
    <row r="103" spans="1:11" x14ac:dyDescent="0.25">
      <c r="A103" s="43">
        <v>101</v>
      </c>
      <c r="B103" s="3">
        <v>6</v>
      </c>
      <c r="C103" s="2" t="str">
        <f>VLOOKUP('БАЗА (1)'!B103,'Справочник (2-3)'!$A$3:$B$9,2,FALSE)</f>
        <v>Харьков</v>
      </c>
      <c r="D103" s="40">
        <v>41629</v>
      </c>
      <c r="E103" s="2">
        <v>178</v>
      </c>
      <c r="F103" s="9">
        <v>43950</v>
      </c>
      <c r="G103" s="9">
        <f t="shared" si="2"/>
        <v>7823100</v>
      </c>
      <c r="H103" s="2" t="str" cm="1">
        <f t="array" ref="H103">_xlfn.IFS('БАЗА (1)'!G103&gt;10000000,'Справочник (2-3)'!$G$5,AND('БАЗА (1)'!G103&lt;=10000000,'БАЗА (1)'!G103&gt;=5000000),'Справочник (2-3)'!$G$4,'БАЗА (1)'!G103&lt;5000000,'Справочник (2-3)'!$G$3)</f>
        <v>B</v>
      </c>
      <c r="I103" s="2" t="s">
        <v>61</v>
      </c>
      <c r="J103" s="2" t="str">
        <f t="shared" si="3"/>
        <v>Дьякова Т. А.</v>
      </c>
      <c r="K103" s="44">
        <v>41629</v>
      </c>
    </row>
    <row r="104" spans="1:11" x14ac:dyDescent="0.25">
      <c r="A104" s="43">
        <v>102</v>
      </c>
      <c r="B104" s="3">
        <v>3</v>
      </c>
      <c r="C104" s="2" t="str">
        <f>VLOOKUP('БАЗА (1)'!B104,'Справочник (2-3)'!$A$3:$B$9,2,FALSE)</f>
        <v>Челябинск</v>
      </c>
      <c r="D104" s="40">
        <v>41997</v>
      </c>
      <c r="E104" s="2">
        <v>146</v>
      </c>
      <c r="F104" s="9">
        <v>74137</v>
      </c>
      <c r="G104" s="9">
        <f t="shared" si="2"/>
        <v>10824002</v>
      </c>
      <c r="H104" s="2" t="str" cm="1">
        <f t="array" ref="H104">_xlfn.IFS('БАЗА (1)'!G104&gt;10000000,'Справочник (2-3)'!$G$5,AND('БАЗА (1)'!G104&lt;=10000000,'БАЗА (1)'!G104&gt;=5000000),'Справочник (2-3)'!$G$4,'БАЗА (1)'!G104&lt;5000000,'Справочник (2-3)'!$G$3)</f>
        <v>A</v>
      </c>
      <c r="I104" s="2" t="s">
        <v>63</v>
      </c>
      <c r="J104" s="2" t="str">
        <f t="shared" si="3"/>
        <v>Зуева Е. Ю.</v>
      </c>
      <c r="K104" s="44">
        <v>41997</v>
      </c>
    </row>
    <row r="105" spans="1:11" x14ac:dyDescent="0.25">
      <c r="A105" s="43">
        <v>103</v>
      </c>
      <c r="B105" s="3">
        <v>2</v>
      </c>
      <c r="C105" s="2" t="str">
        <f>VLOOKUP('БАЗА (1)'!B105,'Справочник (2-3)'!$A$3:$B$9,2,FALSE)</f>
        <v>Санкт-Петербург</v>
      </c>
      <c r="D105" s="40">
        <v>41927</v>
      </c>
      <c r="E105" s="2">
        <v>7</v>
      </c>
      <c r="F105" s="9">
        <v>19916</v>
      </c>
      <c r="G105" s="9">
        <f t="shared" si="2"/>
        <v>139412</v>
      </c>
      <c r="H105" s="2" t="str" cm="1">
        <f t="array" ref="H105">_xlfn.IFS('БАЗА (1)'!G105&gt;10000000,'Справочник (2-3)'!$G$5,AND('БАЗА (1)'!G105&lt;=10000000,'БАЗА (1)'!G105&gt;=5000000),'Справочник (2-3)'!$G$4,'БАЗА (1)'!G105&lt;5000000,'Справочник (2-3)'!$G$3)</f>
        <v>C</v>
      </c>
      <c r="I105" s="2" t="s">
        <v>70</v>
      </c>
      <c r="J105" s="2" t="str">
        <f t="shared" si="3"/>
        <v>Каячева М. В.</v>
      </c>
      <c r="K105" s="44">
        <v>41927</v>
      </c>
    </row>
    <row r="106" spans="1:11" x14ac:dyDescent="0.25">
      <c r="A106" s="43">
        <v>104</v>
      </c>
      <c r="B106" s="3">
        <v>2</v>
      </c>
      <c r="C106" s="2" t="str">
        <f>VLOOKUP('БАЗА (1)'!B106,'Справочник (2-3)'!$A$3:$B$9,2,FALSE)</f>
        <v>Санкт-Петербург</v>
      </c>
      <c r="D106" s="40">
        <v>42671</v>
      </c>
      <c r="E106" s="2">
        <v>125</v>
      </c>
      <c r="F106" s="9">
        <v>2316</v>
      </c>
      <c r="G106" s="9">
        <f t="shared" si="2"/>
        <v>289500</v>
      </c>
      <c r="H106" s="2" t="str" cm="1">
        <f t="array" ref="H106">_xlfn.IFS('БАЗА (1)'!G106&gt;10000000,'Справочник (2-3)'!$G$5,AND('БАЗА (1)'!G106&lt;=10000000,'БАЗА (1)'!G106&gt;=5000000),'Справочник (2-3)'!$G$4,'БАЗА (1)'!G106&lt;5000000,'Справочник (2-3)'!$G$3)</f>
        <v>C</v>
      </c>
      <c r="I106" s="2" t="s">
        <v>87</v>
      </c>
      <c r="J106" s="2" t="str">
        <f t="shared" si="3"/>
        <v>Олифер Е. Р.</v>
      </c>
      <c r="K106" s="44">
        <v>42671</v>
      </c>
    </row>
    <row r="107" spans="1:11" x14ac:dyDescent="0.25">
      <c r="A107" s="43">
        <v>105</v>
      </c>
      <c r="B107" s="3">
        <v>1</v>
      </c>
      <c r="C107" s="2" t="str">
        <f>VLOOKUP('БАЗА (1)'!B107,'Справочник (2-3)'!$A$3:$B$9,2,FALSE)</f>
        <v>Москва</v>
      </c>
      <c r="D107" s="40">
        <v>42688</v>
      </c>
      <c r="E107" s="2">
        <v>153</v>
      </c>
      <c r="F107" s="9">
        <v>98478</v>
      </c>
      <c r="G107" s="9">
        <f t="shared" si="2"/>
        <v>15067134</v>
      </c>
      <c r="H107" s="2" t="str" cm="1">
        <f t="array" ref="H107">_xlfn.IFS('БАЗА (1)'!G107&gt;10000000,'Справочник (2-3)'!$G$5,AND('БАЗА (1)'!G107&lt;=10000000,'БАЗА (1)'!G107&gt;=5000000),'Справочник (2-3)'!$G$4,'БАЗА (1)'!G107&lt;5000000,'Справочник (2-3)'!$G$3)</f>
        <v>A</v>
      </c>
      <c r="I107" s="2" t="s">
        <v>47</v>
      </c>
      <c r="J107" s="2" t="str">
        <f t="shared" si="3"/>
        <v>Байбикова Н. М.</v>
      </c>
      <c r="K107" s="44">
        <v>42688</v>
      </c>
    </row>
    <row r="108" spans="1:11" x14ac:dyDescent="0.25">
      <c r="A108" s="43">
        <v>106</v>
      </c>
      <c r="B108" s="3">
        <v>2</v>
      </c>
      <c r="C108" s="2" t="str">
        <f>VLOOKUP('БАЗА (1)'!B108,'Справочник (2-3)'!$A$3:$B$9,2,FALSE)</f>
        <v>Санкт-Петербург</v>
      </c>
      <c r="D108" s="40">
        <v>41932</v>
      </c>
      <c r="E108" s="2">
        <v>100</v>
      </c>
      <c r="F108" s="9">
        <v>45539</v>
      </c>
      <c r="G108" s="9">
        <f t="shared" si="2"/>
        <v>4553900</v>
      </c>
      <c r="H108" s="2" t="str" cm="1">
        <f t="array" ref="H108">_xlfn.IFS('БАЗА (1)'!G108&gt;10000000,'Справочник (2-3)'!$G$5,AND('БАЗА (1)'!G108&lt;=10000000,'БАЗА (1)'!G108&gt;=5000000),'Справочник (2-3)'!$G$4,'БАЗА (1)'!G108&lt;5000000,'Справочник (2-3)'!$G$3)</f>
        <v>C</v>
      </c>
      <c r="I108" s="2" t="s">
        <v>82</v>
      </c>
      <c r="J108" s="2" t="str">
        <f t="shared" si="3"/>
        <v>Меркушев А. С.</v>
      </c>
      <c r="K108" s="44">
        <v>41932</v>
      </c>
    </row>
    <row r="109" spans="1:11" x14ac:dyDescent="0.25">
      <c r="A109" s="43">
        <v>107</v>
      </c>
      <c r="B109" s="3">
        <v>3</v>
      </c>
      <c r="C109" s="2" t="str">
        <f>VLOOKUP('БАЗА (1)'!B109,'Справочник (2-3)'!$A$3:$B$9,2,FALSE)</f>
        <v>Челябинск</v>
      </c>
      <c r="D109" s="40">
        <v>42000</v>
      </c>
      <c r="E109" s="2">
        <v>23</v>
      </c>
      <c r="F109" s="9">
        <v>95297</v>
      </c>
      <c r="G109" s="9">
        <f t="shared" si="2"/>
        <v>2191831</v>
      </c>
      <c r="H109" s="2" t="str" cm="1">
        <f t="array" ref="H109">_xlfn.IFS('БАЗА (1)'!G109&gt;10000000,'Справочник (2-3)'!$G$5,AND('БАЗА (1)'!G109&lt;=10000000,'БАЗА (1)'!G109&gt;=5000000),'Справочник (2-3)'!$G$4,'БАЗА (1)'!G109&lt;5000000,'Справочник (2-3)'!$G$3)</f>
        <v>C</v>
      </c>
      <c r="I109" s="2" t="s">
        <v>55</v>
      </c>
      <c r="J109" s="2" t="str">
        <f t="shared" si="3"/>
        <v>Гордеева А. П.</v>
      </c>
      <c r="K109" s="44">
        <v>42000</v>
      </c>
    </row>
    <row r="110" spans="1:11" x14ac:dyDescent="0.25">
      <c r="A110" s="43">
        <v>108</v>
      </c>
      <c r="B110" s="3">
        <v>5</v>
      </c>
      <c r="C110" s="2" t="str">
        <f>VLOOKUP('БАЗА (1)'!B110,'Справочник (2-3)'!$A$3:$B$9,2,FALSE)</f>
        <v>Омск</v>
      </c>
      <c r="D110" s="40">
        <v>41588</v>
      </c>
      <c r="E110" s="2">
        <v>183</v>
      </c>
      <c r="F110" s="9">
        <v>65851</v>
      </c>
      <c r="G110" s="9">
        <f t="shared" si="2"/>
        <v>12050733</v>
      </c>
      <c r="H110" s="2" t="str" cm="1">
        <f t="array" ref="H110">_xlfn.IFS('БАЗА (1)'!G110&gt;10000000,'Справочник (2-3)'!$G$5,AND('БАЗА (1)'!G110&lt;=10000000,'БАЗА (1)'!G110&gt;=5000000),'Справочник (2-3)'!$G$4,'БАЗА (1)'!G110&lt;5000000,'Справочник (2-3)'!$G$3)</f>
        <v>A</v>
      </c>
      <c r="I110" s="2" t="s">
        <v>83</v>
      </c>
      <c r="J110" s="2" t="str">
        <f t="shared" si="3"/>
        <v>Мец В. П.</v>
      </c>
      <c r="K110" s="44">
        <v>41588</v>
      </c>
    </row>
    <row r="111" spans="1:11" x14ac:dyDescent="0.25">
      <c r="A111" s="43">
        <v>109</v>
      </c>
      <c r="B111" s="3">
        <v>4</v>
      </c>
      <c r="C111" s="2" t="str">
        <f>VLOOKUP('БАЗА (1)'!B111,'Справочник (2-3)'!$A$3:$B$9,2,FALSE)</f>
        <v>Казань</v>
      </c>
      <c r="D111" s="40">
        <v>41597</v>
      </c>
      <c r="E111" s="2">
        <v>81</v>
      </c>
      <c r="F111" s="9">
        <v>15394</v>
      </c>
      <c r="G111" s="9">
        <f t="shared" si="2"/>
        <v>1246914</v>
      </c>
      <c r="H111" s="2" t="str" cm="1">
        <f t="array" ref="H111">_xlfn.IFS('БАЗА (1)'!G111&gt;10000000,'Справочник (2-3)'!$G$5,AND('БАЗА (1)'!G111&lt;=10000000,'БАЗА (1)'!G111&gt;=5000000),'Справочник (2-3)'!$G$4,'БАЗА (1)'!G111&lt;5000000,'Справочник (2-3)'!$G$3)</f>
        <v>C</v>
      </c>
      <c r="I111" s="2" t="s">
        <v>70</v>
      </c>
      <c r="J111" s="2" t="str">
        <f t="shared" si="3"/>
        <v>Каячева М. В.</v>
      </c>
      <c r="K111" s="44">
        <v>41597</v>
      </c>
    </row>
    <row r="112" spans="1:11" x14ac:dyDescent="0.25">
      <c r="A112" s="43">
        <v>110</v>
      </c>
      <c r="B112" s="3">
        <v>4</v>
      </c>
      <c r="C112" s="2" t="str">
        <f>VLOOKUP('БАЗА (1)'!B112,'Справочник (2-3)'!$A$3:$B$9,2,FALSE)</f>
        <v>Казань</v>
      </c>
      <c r="D112" s="40">
        <v>42716</v>
      </c>
      <c r="E112" s="2">
        <v>10</v>
      </c>
      <c r="F112" s="9">
        <v>76702</v>
      </c>
      <c r="G112" s="9">
        <f t="shared" si="2"/>
        <v>767020</v>
      </c>
      <c r="H112" s="2" t="str" cm="1">
        <f t="array" ref="H112">_xlfn.IFS('БАЗА (1)'!G112&gt;10000000,'Справочник (2-3)'!$G$5,AND('БАЗА (1)'!G112&lt;=10000000,'БАЗА (1)'!G112&gt;=5000000),'Справочник (2-3)'!$G$4,'БАЗА (1)'!G112&lt;5000000,'Справочник (2-3)'!$G$3)</f>
        <v>C</v>
      </c>
      <c r="I112" s="2" t="s">
        <v>92</v>
      </c>
      <c r="J112" s="2" t="str">
        <f t="shared" si="3"/>
        <v>Патрушева В. В.</v>
      </c>
      <c r="K112" s="44">
        <v>42716</v>
      </c>
    </row>
    <row r="113" spans="1:11" x14ac:dyDescent="0.25">
      <c r="A113" s="43">
        <v>111</v>
      </c>
      <c r="B113" s="3">
        <v>3</v>
      </c>
      <c r="C113" s="2" t="str">
        <f>VLOOKUP('БАЗА (1)'!B113,'Справочник (2-3)'!$A$3:$B$9,2,FALSE)</f>
        <v>Челябинск</v>
      </c>
      <c r="D113" s="40">
        <v>41929</v>
      </c>
      <c r="E113" s="2">
        <v>35</v>
      </c>
      <c r="F113" s="9">
        <v>95595</v>
      </c>
      <c r="G113" s="9">
        <f t="shared" si="2"/>
        <v>3345825</v>
      </c>
      <c r="H113" s="2" t="str" cm="1">
        <f t="array" ref="H113">_xlfn.IFS('БАЗА (1)'!G113&gt;10000000,'Справочник (2-3)'!$G$5,AND('БАЗА (1)'!G113&lt;=10000000,'БАЗА (1)'!G113&gt;=5000000),'Справочник (2-3)'!$G$4,'БАЗА (1)'!G113&lt;5000000,'Справочник (2-3)'!$G$3)</f>
        <v>C</v>
      </c>
      <c r="I113" s="2" t="s">
        <v>60</v>
      </c>
      <c r="J113" s="2" t="str">
        <f t="shared" si="3"/>
        <v>Дружинин А. В.</v>
      </c>
      <c r="K113" s="44">
        <v>41929</v>
      </c>
    </row>
    <row r="114" spans="1:11" x14ac:dyDescent="0.25">
      <c r="A114" s="43">
        <v>112</v>
      </c>
      <c r="B114" s="3">
        <v>4</v>
      </c>
      <c r="C114" s="2" t="str">
        <f>VLOOKUP('БАЗА (1)'!B114,'Справочник (2-3)'!$A$3:$B$9,2,FALSE)</f>
        <v>Казань</v>
      </c>
      <c r="D114" s="40">
        <v>41602</v>
      </c>
      <c r="E114" s="2">
        <v>110</v>
      </c>
      <c r="F114" s="9">
        <v>86581</v>
      </c>
      <c r="G114" s="9">
        <f t="shared" si="2"/>
        <v>9523910</v>
      </c>
      <c r="H114" s="2" t="str" cm="1">
        <f t="array" ref="H114">_xlfn.IFS('БАЗА (1)'!G114&gt;10000000,'Справочник (2-3)'!$G$5,AND('БАЗА (1)'!G114&lt;=10000000,'БАЗА (1)'!G114&gt;=5000000),'Справочник (2-3)'!$G$4,'БАЗА (1)'!G114&lt;5000000,'Справочник (2-3)'!$G$3)</f>
        <v>B</v>
      </c>
      <c r="I114" s="2" t="s">
        <v>47</v>
      </c>
      <c r="J114" s="2" t="str">
        <f t="shared" si="3"/>
        <v>Байбикова Н. М.</v>
      </c>
      <c r="K114" s="44">
        <v>41602</v>
      </c>
    </row>
    <row r="115" spans="1:11" x14ac:dyDescent="0.25">
      <c r="A115" s="43">
        <v>113</v>
      </c>
      <c r="B115" s="3">
        <v>3</v>
      </c>
      <c r="C115" s="2" t="str">
        <f>VLOOKUP('БАЗА (1)'!B115,'Справочник (2-3)'!$A$3:$B$9,2,FALSE)</f>
        <v>Челябинск</v>
      </c>
      <c r="D115" s="40">
        <v>41564</v>
      </c>
      <c r="E115" s="2">
        <v>81</v>
      </c>
      <c r="F115" s="9">
        <v>23545</v>
      </c>
      <c r="G115" s="9">
        <f t="shared" si="2"/>
        <v>1907145</v>
      </c>
      <c r="H115" s="2" t="str" cm="1">
        <f t="array" ref="H115">_xlfn.IFS('БАЗА (1)'!G115&gt;10000000,'Справочник (2-3)'!$G$5,AND('БАЗА (1)'!G115&lt;=10000000,'БАЗА (1)'!G115&gt;=5000000),'Справочник (2-3)'!$G$4,'БАЗА (1)'!G115&lt;5000000,'Справочник (2-3)'!$G$3)</f>
        <v>C</v>
      </c>
      <c r="I115" s="2" t="s">
        <v>60</v>
      </c>
      <c r="J115" s="2" t="str">
        <f t="shared" si="3"/>
        <v>Дружинин А. В.</v>
      </c>
      <c r="K115" s="44">
        <v>41564</v>
      </c>
    </row>
    <row r="116" spans="1:11" x14ac:dyDescent="0.25">
      <c r="A116" s="43">
        <v>114</v>
      </c>
      <c r="B116" s="3">
        <v>7</v>
      </c>
      <c r="C116" s="2" t="str">
        <f>VLOOKUP('БАЗА (1)'!B116,'Справочник (2-3)'!$A$3:$B$9,2,FALSE)</f>
        <v>Йошкар-Ола</v>
      </c>
      <c r="D116" s="40">
        <v>41631</v>
      </c>
      <c r="E116" s="2">
        <v>74</v>
      </c>
      <c r="F116" s="9">
        <v>28460</v>
      </c>
      <c r="G116" s="9">
        <f t="shared" si="2"/>
        <v>2106040</v>
      </c>
      <c r="H116" s="2" t="str" cm="1">
        <f t="array" ref="H116">_xlfn.IFS('БАЗА (1)'!G116&gt;10000000,'Справочник (2-3)'!$G$5,AND('БАЗА (1)'!G116&lt;=10000000,'БАЗА (1)'!G116&gt;=5000000),'Справочник (2-3)'!$G$4,'БАЗА (1)'!G116&lt;5000000,'Справочник (2-3)'!$G$3)</f>
        <v>C</v>
      </c>
      <c r="I116" s="2" t="s">
        <v>57</v>
      </c>
      <c r="J116" s="2" t="str">
        <f t="shared" si="3"/>
        <v>Гудошников А. В.</v>
      </c>
      <c r="K116" s="44">
        <v>41631</v>
      </c>
    </row>
    <row r="117" spans="1:11" x14ac:dyDescent="0.25">
      <c r="A117" s="43">
        <v>115</v>
      </c>
      <c r="B117" s="3">
        <v>6</v>
      </c>
      <c r="C117" s="2" t="str">
        <f>VLOOKUP('БАЗА (1)'!B117,'Справочник (2-3)'!$A$3:$B$9,2,FALSE)</f>
        <v>Харьков</v>
      </c>
      <c r="D117" s="40">
        <v>41970</v>
      </c>
      <c r="E117" s="2">
        <v>62</v>
      </c>
      <c r="F117" s="9">
        <v>50784</v>
      </c>
      <c r="G117" s="9">
        <f t="shared" si="2"/>
        <v>3148608</v>
      </c>
      <c r="H117" s="2" t="str" cm="1">
        <f t="array" ref="H117">_xlfn.IFS('БАЗА (1)'!G117&gt;10000000,'Справочник (2-3)'!$G$5,AND('БАЗА (1)'!G117&lt;=10000000,'БАЗА (1)'!G117&gt;=5000000),'Справочник (2-3)'!$G$4,'БАЗА (1)'!G117&lt;5000000,'Справочник (2-3)'!$G$3)</f>
        <v>C</v>
      </c>
      <c r="I117" s="2" t="s">
        <v>90</v>
      </c>
      <c r="J117" s="2" t="str">
        <f t="shared" si="3"/>
        <v>Павлова Н. И.</v>
      </c>
      <c r="K117" s="44">
        <v>41970</v>
      </c>
    </row>
    <row r="118" spans="1:11" x14ac:dyDescent="0.25">
      <c r="A118" s="43">
        <v>116</v>
      </c>
      <c r="B118" s="3">
        <v>5</v>
      </c>
      <c r="C118" s="2" t="str">
        <f>VLOOKUP('БАЗА (1)'!B118,'Справочник (2-3)'!$A$3:$B$9,2,FALSE)</f>
        <v>Омск</v>
      </c>
      <c r="D118" s="40">
        <v>41985</v>
      </c>
      <c r="E118" s="2">
        <v>16</v>
      </c>
      <c r="F118" s="9">
        <v>31755</v>
      </c>
      <c r="G118" s="9">
        <f t="shared" si="2"/>
        <v>508080</v>
      </c>
      <c r="H118" s="2" t="str" cm="1">
        <f t="array" ref="H118">_xlfn.IFS('БАЗА (1)'!G118&gt;10000000,'Справочник (2-3)'!$G$5,AND('БАЗА (1)'!G118&lt;=10000000,'БАЗА (1)'!G118&gt;=5000000),'Справочник (2-3)'!$G$4,'БАЗА (1)'!G118&lt;5000000,'Справочник (2-3)'!$G$3)</f>
        <v>C</v>
      </c>
      <c r="I118" s="2" t="s">
        <v>70</v>
      </c>
      <c r="J118" s="2" t="str">
        <f t="shared" si="3"/>
        <v>Каячева М. В.</v>
      </c>
      <c r="K118" s="44">
        <v>41985</v>
      </c>
    </row>
    <row r="119" spans="1:11" x14ac:dyDescent="0.25">
      <c r="A119" s="43">
        <v>117</v>
      </c>
      <c r="B119" s="3">
        <v>4</v>
      </c>
      <c r="C119" s="2" t="str">
        <f>VLOOKUP('БАЗА (1)'!B119,'Справочник (2-3)'!$A$3:$B$9,2,FALSE)</f>
        <v>Казань</v>
      </c>
      <c r="D119" s="40">
        <v>42699</v>
      </c>
      <c r="E119" s="2">
        <v>191</v>
      </c>
      <c r="F119" s="9">
        <v>46014</v>
      </c>
      <c r="G119" s="9">
        <f t="shared" si="2"/>
        <v>8788674</v>
      </c>
      <c r="H119" s="2" t="str" cm="1">
        <f t="array" ref="H119">_xlfn.IFS('БАЗА (1)'!G119&gt;10000000,'Справочник (2-3)'!$G$5,AND('БАЗА (1)'!G119&lt;=10000000,'БАЗА (1)'!G119&gt;=5000000),'Справочник (2-3)'!$G$4,'БАЗА (1)'!G119&lt;5000000,'Справочник (2-3)'!$G$3)</f>
        <v>B</v>
      </c>
      <c r="I119" s="2" t="s">
        <v>47</v>
      </c>
      <c r="J119" s="2" t="str">
        <f t="shared" si="3"/>
        <v>Байбикова Н. М.</v>
      </c>
      <c r="K119" s="44">
        <v>42699</v>
      </c>
    </row>
    <row r="120" spans="1:11" x14ac:dyDescent="0.25">
      <c r="A120" s="43">
        <v>118</v>
      </c>
      <c r="B120" s="3">
        <v>6</v>
      </c>
      <c r="C120" s="2" t="str">
        <f>VLOOKUP('БАЗА (1)'!B120,'Справочник (2-3)'!$A$3:$B$9,2,FALSE)</f>
        <v>Харьков</v>
      </c>
      <c r="D120" s="40">
        <v>41588</v>
      </c>
      <c r="E120" s="2">
        <v>173</v>
      </c>
      <c r="F120" s="9">
        <v>98480</v>
      </c>
      <c r="G120" s="9">
        <f t="shared" si="2"/>
        <v>17037040</v>
      </c>
      <c r="H120" s="2" t="str" cm="1">
        <f t="array" ref="H120">_xlfn.IFS('БАЗА (1)'!G120&gt;10000000,'Справочник (2-3)'!$G$5,AND('БАЗА (1)'!G120&lt;=10000000,'БАЗА (1)'!G120&gt;=5000000),'Справочник (2-3)'!$G$4,'БАЗА (1)'!G120&lt;5000000,'Справочник (2-3)'!$G$3)</f>
        <v>A</v>
      </c>
      <c r="I120" s="2" t="s">
        <v>75</v>
      </c>
      <c r="J120" s="2" t="str">
        <f t="shared" si="3"/>
        <v>Крапивина Л. В.</v>
      </c>
      <c r="K120" s="44">
        <v>41588</v>
      </c>
    </row>
    <row r="121" spans="1:11" x14ac:dyDescent="0.25">
      <c r="A121" s="43">
        <v>119</v>
      </c>
      <c r="B121" s="3">
        <v>3</v>
      </c>
      <c r="C121" s="2" t="str">
        <f>VLOOKUP('БАЗА (1)'!B121,'Справочник (2-3)'!$A$3:$B$9,2,FALSE)</f>
        <v>Челябинск</v>
      </c>
      <c r="D121" s="40">
        <v>41566</v>
      </c>
      <c r="E121" s="2">
        <v>86</v>
      </c>
      <c r="F121" s="9">
        <v>99100</v>
      </c>
      <c r="G121" s="9">
        <f t="shared" si="2"/>
        <v>8522600</v>
      </c>
      <c r="H121" s="2" t="str" cm="1">
        <f t="array" ref="H121">_xlfn.IFS('БАЗА (1)'!G121&gt;10000000,'Справочник (2-3)'!$G$5,AND('БАЗА (1)'!G121&lt;=10000000,'БАЗА (1)'!G121&gt;=5000000),'Справочник (2-3)'!$G$4,'БАЗА (1)'!G121&lt;5000000,'Справочник (2-3)'!$G$3)</f>
        <v>B</v>
      </c>
      <c r="I121" s="2" t="s">
        <v>48</v>
      </c>
      <c r="J121" s="2" t="str">
        <f t="shared" si="3"/>
        <v>Бармина Ю. А.</v>
      </c>
      <c r="K121" s="44">
        <v>41566</v>
      </c>
    </row>
    <row r="122" spans="1:11" x14ac:dyDescent="0.25">
      <c r="A122" s="43">
        <v>120</v>
      </c>
      <c r="B122" s="3">
        <v>1</v>
      </c>
      <c r="C122" s="2" t="str">
        <f>VLOOKUP('БАЗА (1)'!B122,'Справочник (2-3)'!$A$3:$B$9,2,FALSE)</f>
        <v>Москва</v>
      </c>
      <c r="D122" s="40">
        <v>42294</v>
      </c>
      <c r="E122" s="2">
        <v>93</v>
      </c>
      <c r="F122" s="9">
        <v>97724</v>
      </c>
      <c r="G122" s="9">
        <f t="shared" si="2"/>
        <v>9088332</v>
      </c>
      <c r="H122" s="2" t="str" cm="1">
        <f t="array" ref="H122">_xlfn.IFS('БАЗА (1)'!G122&gt;10000000,'Справочник (2-3)'!$G$5,AND('БАЗА (1)'!G122&lt;=10000000,'БАЗА (1)'!G122&gt;=5000000),'Справочник (2-3)'!$G$4,'БАЗА (1)'!G122&lt;5000000,'Справочник (2-3)'!$G$3)</f>
        <v>B</v>
      </c>
      <c r="I122" s="2" t="s">
        <v>62</v>
      </c>
      <c r="J122" s="2" t="str">
        <f t="shared" si="3"/>
        <v>Зубова И. М.</v>
      </c>
      <c r="K122" s="44">
        <v>42294</v>
      </c>
    </row>
    <row r="123" spans="1:11" x14ac:dyDescent="0.25">
      <c r="A123" s="43">
        <v>121</v>
      </c>
      <c r="B123" s="3">
        <v>5</v>
      </c>
      <c r="C123" s="2" t="str">
        <f>VLOOKUP('БАЗА (1)'!B123,'Справочник (2-3)'!$A$3:$B$9,2,FALSE)</f>
        <v>Омск</v>
      </c>
      <c r="D123" s="40">
        <v>43034</v>
      </c>
      <c r="E123" s="2">
        <v>97</v>
      </c>
      <c r="F123" s="9">
        <v>67223</v>
      </c>
      <c r="G123" s="9">
        <f t="shared" si="2"/>
        <v>6520631</v>
      </c>
      <c r="H123" s="2" t="str" cm="1">
        <f t="array" ref="H123">_xlfn.IFS('БАЗА (1)'!G123&gt;10000000,'Справочник (2-3)'!$G$5,AND('БАЗА (1)'!G123&lt;=10000000,'БАЗА (1)'!G123&gt;=5000000),'Справочник (2-3)'!$G$4,'БАЗА (1)'!G123&lt;5000000,'Справочник (2-3)'!$G$3)</f>
        <v>B</v>
      </c>
      <c r="I123" s="2" t="s">
        <v>56</v>
      </c>
      <c r="J123" s="2" t="str">
        <f t="shared" si="3"/>
        <v>Гребенева Т. В.</v>
      </c>
      <c r="K123" s="44">
        <v>43034</v>
      </c>
    </row>
    <row r="124" spans="1:11" x14ac:dyDescent="0.25">
      <c r="A124" s="43">
        <v>122</v>
      </c>
      <c r="B124" s="3">
        <v>3</v>
      </c>
      <c r="C124" s="2" t="str">
        <f>VLOOKUP('БАЗА (1)'!B124,'Справочник (2-3)'!$A$3:$B$9,2,FALSE)</f>
        <v>Челябинск</v>
      </c>
      <c r="D124" s="40">
        <v>41986</v>
      </c>
      <c r="E124" s="2">
        <v>25</v>
      </c>
      <c r="F124" s="9">
        <v>88694</v>
      </c>
      <c r="G124" s="9">
        <f t="shared" si="2"/>
        <v>2217350</v>
      </c>
      <c r="H124" s="2" t="str" cm="1">
        <f t="array" ref="H124">_xlfn.IFS('БАЗА (1)'!G124&gt;10000000,'Справочник (2-3)'!$G$5,AND('БАЗА (1)'!G124&lt;=10000000,'БАЗА (1)'!G124&gt;=5000000),'Справочник (2-3)'!$G$4,'БАЗА (1)'!G124&lt;5000000,'Справочник (2-3)'!$G$3)</f>
        <v>C</v>
      </c>
      <c r="I124" s="2" t="s">
        <v>45</v>
      </c>
      <c r="J124" s="2" t="str">
        <f t="shared" si="3"/>
        <v>Абалтусова В. Г.</v>
      </c>
      <c r="K124" s="44">
        <v>41986</v>
      </c>
    </row>
    <row r="125" spans="1:11" x14ac:dyDescent="0.25">
      <c r="A125" s="43">
        <v>123</v>
      </c>
      <c r="B125" s="3">
        <v>3</v>
      </c>
      <c r="C125" s="2" t="str">
        <f>VLOOKUP('БАЗА (1)'!B125,'Справочник (2-3)'!$A$3:$B$9,2,FALSE)</f>
        <v>Челябинск</v>
      </c>
      <c r="D125" s="40">
        <v>43036</v>
      </c>
      <c r="E125" s="2">
        <v>48</v>
      </c>
      <c r="F125" s="9">
        <v>52215</v>
      </c>
      <c r="G125" s="9">
        <f t="shared" si="2"/>
        <v>2506320</v>
      </c>
      <c r="H125" s="2" t="str" cm="1">
        <f t="array" ref="H125">_xlfn.IFS('БАЗА (1)'!G125&gt;10000000,'Справочник (2-3)'!$G$5,AND('БАЗА (1)'!G125&lt;=10000000,'БАЗА (1)'!G125&gt;=5000000),'Справочник (2-3)'!$G$4,'БАЗА (1)'!G125&lt;5000000,'Справочник (2-3)'!$G$3)</f>
        <v>C</v>
      </c>
      <c r="I125" s="2" t="s">
        <v>60</v>
      </c>
      <c r="J125" s="2" t="str">
        <f t="shared" si="3"/>
        <v>Дружинин А. В.</v>
      </c>
      <c r="K125" s="44">
        <v>43036</v>
      </c>
    </row>
    <row r="126" spans="1:11" x14ac:dyDescent="0.25">
      <c r="A126" s="43">
        <v>124</v>
      </c>
      <c r="B126" s="3">
        <v>4</v>
      </c>
      <c r="C126" s="2" t="str">
        <f>VLOOKUP('БАЗА (1)'!B126,'Справочник (2-3)'!$A$3:$B$9,2,FALSE)</f>
        <v>Казань</v>
      </c>
      <c r="D126" s="40">
        <v>41621</v>
      </c>
      <c r="E126" s="2">
        <v>193</v>
      </c>
      <c r="F126" s="9">
        <v>5612</v>
      </c>
      <c r="G126" s="9">
        <f t="shared" si="2"/>
        <v>1083116</v>
      </c>
      <c r="H126" s="2" t="str" cm="1">
        <f t="array" ref="H126">_xlfn.IFS('БАЗА (1)'!G126&gt;10000000,'Справочник (2-3)'!$G$5,AND('БАЗА (1)'!G126&lt;=10000000,'БАЗА (1)'!G126&gt;=5000000),'Справочник (2-3)'!$G$4,'БАЗА (1)'!G126&lt;5000000,'Справочник (2-3)'!$G$3)</f>
        <v>C</v>
      </c>
      <c r="I126" s="2" t="s">
        <v>75</v>
      </c>
      <c r="J126" s="2" t="str">
        <f t="shared" si="3"/>
        <v>Крапивина Л. В.</v>
      </c>
      <c r="K126" s="44">
        <v>41621</v>
      </c>
    </row>
    <row r="127" spans="1:11" x14ac:dyDescent="0.25">
      <c r="A127" s="43">
        <v>125</v>
      </c>
      <c r="B127" s="3">
        <v>7</v>
      </c>
      <c r="C127" s="2" t="str">
        <f>VLOOKUP('БАЗА (1)'!B127,'Справочник (2-3)'!$A$3:$B$9,2,FALSE)</f>
        <v>Йошкар-Ола</v>
      </c>
      <c r="D127" s="40">
        <v>43085</v>
      </c>
      <c r="E127" s="2">
        <v>195</v>
      </c>
      <c r="F127" s="9">
        <v>62631</v>
      </c>
      <c r="G127" s="9">
        <f t="shared" si="2"/>
        <v>12213045</v>
      </c>
      <c r="H127" s="2" t="str" cm="1">
        <f t="array" ref="H127">_xlfn.IFS('БАЗА (1)'!G127&gt;10000000,'Справочник (2-3)'!$G$5,AND('БАЗА (1)'!G127&lt;=10000000,'БАЗА (1)'!G127&gt;=5000000),'Справочник (2-3)'!$G$4,'БАЗА (1)'!G127&lt;5000000,'Справочник (2-3)'!$G$3)</f>
        <v>A</v>
      </c>
      <c r="I127" s="2" t="s">
        <v>87</v>
      </c>
      <c r="J127" s="2" t="str">
        <f t="shared" si="3"/>
        <v>Олифер Е. Р.</v>
      </c>
      <c r="K127" s="44">
        <v>43085</v>
      </c>
    </row>
    <row r="128" spans="1:11" x14ac:dyDescent="0.25">
      <c r="A128" s="43">
        <v>126</v>
      </c>
      <c r="B128" s="3">
        <v>5</v>
      </c>
      <c r="C128" s="2" t="str">
        <f>VLOOKUP('БАЗА (1)'!B128,'Справочник (2-3)'!$A$3:$B$9,2,FALSE)</f>
        <v>Омск</v>
      </c>
      <c r="D128" s="40">
        <v>42336</v>
      </c>
      <c r="E128" s="2">
        <v>43</v>
      </c>
      <c r="F128" s="9">
        <v>91962</v>
      </c>
      <c r="G128" s="9">
        <f t="shared" si="2"/>
        <v>3954366</v>
      </c>
      <c r="H128" s="2" t="str" cm="1">
        <f t="array" ref="H128">_xlfn.IFS('БАЗА (1)'!G128&gt;10000000,'Справочник (2-3)'!$G$5,AND('БАЗА (1)'!G128&lt;=10000000,'БАЗА (1)'!G128&gt;=5000000),'Справочник (2-3)'!$G$4,'БАЗА (1)'!G128&lt;5000000,'Справочник (2-3)'!$G$3)</f>
        <v>C</v>
      </c>
      <c r="I128" s="2" t="s">
        <v>76</v>
      </c>
      <c r="J128" s="2" t="str">
        <f t="shared" si="3"/>
        <v>Лакеенков Д. В.</v>
      </c>
      <c r="K128" s="44">
        <v>42336</v>
      </c>
    </row>
    <row r="129" spans="1:11" x14ac:dyDescent="0.25">
      <c r="A129" s="43">
        <v>127</v>
      </c>
      <c r="B129" s="3">
        <v>3</v>
      </c>
      <c r="C129" s="2" t="str">
        <f>VLOOKUP('БАЗА (1)'!B129,'Справочник (2-3)'!$A$3:$B$9,2,FALSE)</f>
        <v>Челябинск</v>
      </c>
      <c r="D129" s="40">
        <v>42731</v>
      </c>
      <c r="E129" s="2">
        <v>133</v>
      </c>
      <c r="F129" s="9">
        <v>19861</v>
      </c>
      <c r="G129" s="9">
        <f t="shared" si="2"/>
        <v>2641513</v>
      </c>
      <c r="H129" s="2" t="str" cm="1">
        <f t="array" ref="H129">_xlfn.IFS('БАЗА (1)'!G129&gt;10000000,'Справочник (2-3)'!$G$5,AND('БАЗА (1)'!G129&lt;=10000000,'БАЗА (1)'!G129&gt;=5000000),'Справочник (2-3)'!$G$4,'БАЗА (1)'!G129&lt;5000000,'Справочник (2-3)'!$G$3)</f>
        <v>C</v>
      </c>
      <c r="I129" s="2" t="s">
        <v>68</v>
      </c>
      <c r="J129" s="2" t="str">
        <f t="shared" si="3"/>
        <v>Кадырова Е. А.</v>
      </c>
      <c r="K129" s="44">
        <v>42731</v>
      </c>
    </row>
    <row r="130" spans="1:11" x14ac:dyDescent="0.25">
      <c r="A130" s="43">
        <v>128</v>
      </c>
      <c r="B130" s="3">
        <v>2</v>
      </c>
      <c r="C130" s="2" t="str">
        <f>VLOOKUP('БАЗА (1)'!B130,'Справочник (2-3)'!$A$3:$B$9,2,FALSE)</f>
        <v>Санкт-Петербург</v>
      </c>
      <c r="D130" s="40">
        <v>41998</v>
      </c>
      <c r="E130" s="2">
        <v>177</v>
      </c>
      <c r="F130" s="9">
        <v>34173</v>
      </c>
      <c r="G130" s="9">
        <f t="shared" si="2"/>
        <v>6048621</v>
      </c>
      <c r="H130" s="2" t="str" cm="1">
        <f t="array" ref="H130">_xlfn.IFS('БАЗА (1)'!G130&gt;10000000,'Справочник (2-3)'!$G$5,AND('БАЗА (1)'!G130&lt;=10000000,'БАЗА (1)'!G130&gt;=5000000),'Справочник (2-3)'!$G$4,'БАЗА (1)'!G130&lt;5000000,'Справочник (2-3)'!$G$3)</f>
        <v>B</v>
      </c>
      <c r="I130" s="2" t="s">
        <v>82</v>
      </c>
      <c r="J130" s="2" t="str">
        <f t="shared" si="3"/>
        <v>Меркушев А. С.</v>
      </c>
      <c r="K130" s="44">
        <v>41998</v>
      </c>
    </row>
    <row r="131" spans="1:11" x14ac:dyDescent="0.25">
      <c r="A131" s="43">
        <v>129</v>
      </c>
      <c r="B131" s="3">
        <v>7</v>
      </c>
      <c r="C131" s="2" t="str">
        <f>VLOOKUP('БАЗА (1)'!B131,'Справочник (2-3)'!$A$3:$B$9,2,FALSE)</f>
        <v>Йошкар-Ола</v>
      </c>
      <c r="D131" s="40">
        <v>41928</v>
      </c>
      <c r="E131" s="2">
        <v>112</v>
      </c>
      <c r="F131" s="9">
        <v>57995</v>
      </c>
      <c r="G131" s="9">
        <f t="shared" si="2"/>
        <v>6495440</v>
      </c>
      <c r="H131" s="2" t="str" cm="1">
        <f t="array" ref="H131">_xlfn.IFS('БАЗА (1)'!G131&gt;10000000,'Справочник (2-3)'!$G$5,AND('БАЗА (1)'!G131&lt;=10000000,'БАЗА (1)'!G131&gt;=5000000),'Справочник (2-3)'!$G$4,'БАЗА (1)'!G131&lt;5000000,'Справочник (2-3)'!$G$3)</f>
        <v>B</v>
      </c>
      <c r="I131" s="2" t="s">
        <v>64</v>
      </c>
      <c r="J131" s="2" t="str">
        <f t="shared" si="3"/>
        <v>Иванов В. Г.</v>
      </c>
      <c r="K131" s="44">
        <v>41928</v>
      </c>
    </row>
    <row r="132" spans="1:11" x14ac:dyDescent="0.25">
      <c r="A132" s="43">
        <v>130</v>
      </c>
      <c r="B132" s="3">
        <v>7</v>
      </c>
      <c r="C132" s="2" t="str">
        <f>VLOOKUP('БАЗА (1)'!B132,'Справочник (2-3)'!$A$3:$B$9,2,FALSE)</f>
        <v>Йошкар-Ола</v>
      </c>
      <c r="D132" s="40">
        <v>43088</v>
      </c>
      <c r="E132" s="2">
        <v>41</v>
      </c>
      <c r="F132" s="9">
        <v>55643</v>
      </c>
      <c r="G132" s="9">
        <f t="shared" ref="G132:G195" si="4">E132*F132</f>
        <v>2281363</v>
      </c>
      <c r="H132" s="2" t="str" cm="1">
        <f t="array" ref="H132">_xlfn.IFS('БАЗА (1)'!G132&gt;10000000,'Справочник (2-3)'!$G$5,AND('БАЗА (1)'!G132&lt;=10000000,'БАЗА (1)'!G132&gt;=5000000),'Справочник (2-3)'!$G$4,'БАЗА (1)'!G132&lt;5000000,'Справочник (2-3)'!$G$3)</f>
        <v>C</v>
      </c>
      <c r="I132" s="2" t="s">
        <v>98</v>
      </c>
      <c r="J132" s="2" t="str">
        <f t="shared" ref="J132:J195" si="5">LEFT(I132,FIND(" ",I132)-1)&amp;" "&amp;LEFT(MID(I132,FIND(" ",I132)+1,LEN(I132)),1)&amp;". "&amp;LEFT(MID(I132,FIND(" ",I132,FIND(" ",I132)+1)+1,LEN(I132)),1)&amp;"."</f>
        <v>Попова А. А.</v>
      </c>
      <c r="K132" s="44">
        <v>43088</v>
      </c>
    </row>
    <row r="133" spans="1:11" x14ac:dyDescent="0.25">
      <c r="A133" s="43">
        <v>131</v>
      </c>
      <c r="B133" s="3">
        <v>6</v>
      </c>
      <c r="C133" s="2" t="str">
        <f>VLOOKUP('БАЗА (1)'!B133,'Справочник (2-3)'!$A$3:$B$9,2,FALSE)</f>
        <v>Харьков</v>
      </c>
      <c r="D133" s="40">
        <v>42665</v>
      </c>
      <c r="E133" s="2">
        <v>135</v>
      </c>
      <c r="F133" s="9">
        <v>71126</v>
      </c>
      <c r="G133" s="9">
        <f t="shared" si="4"/>
        <v>9602010</v>
      </c>
      <c r="H133" s="2" t="str" cm="1">
        <f t="array" ref="H133">_xlfn.IFS('БАЗА (1)'!G133&gt;10000000,'Справочник (2-3)'!$G$5,AND('БАЗА (1)'!G133&lt;=10000000,'БАЗА (1)'!G133&gt;=5000000),'Справочник (2-3)'!$G$4,'БАЗА (1)'!G133&lt;5000000,'Справочник (2-3)'!$G$3)</f>
        <v>B</v>
      </c>
      <c r="I133" s="2" t="s">
        <v>75</v>
      </c>
      <c r="J133" s="2" t="str">
        <f t="shared" si="5"/>
        <v>Крапивина Л. В.</v>
      </c>
      <c r="K133" s="44">
        <v>42665</v>
      </c>
    </row>
    <row r="134" spans="1:11" x14ac:dyDescent="0.25">
      <c r="A134" s="43">
        <v>132</v>
      </c>
      <c r="B134" s="3">
        <v>7</v>
      </c>
      <c r="C134" s="2" t="str">
        <f>VLOOKUP('БАЗА (1)'!B134,'Справочник (2-3)'!$A$3:$B$9,2,FALSE)</f>
        <v>Йошкар-Ола</v>
      </c>
      <c r="D134" s="40">
        <v>42686</v>
      </c>
      <c r="E134" s="2">
        <v>65</v>
      </c>
      <c r="F134" s="9">
        <v>63805</v>
      </c>
      <c r="G134" s="9">
        <f t="shared" si="4"/>
        <v>4147325</v>
      </c>
      <c r="H134" s="2" t="str" cm="1">
        <f t="array" ref="H134">_xlfn.IFS('БАЗА (1)'!G134&gt;10000000,'Справочник (2-3)'!$G$5,AND('БАЗА (1)'!G134&lt;=10000000,'БАЗА (1)'!G134&gt;=5000000),'Справочник (2-3)'!$G$4,'БАЗА (1)'!G134&lt;5000000,'Справочник (2-3)'!$G$3)</f>
        <v>C</v>
      </c>
      <c r="I134" s="2" t="s">
        <v>51</v>
      </c>
      <c r="J134" s="2" t="str">
        <f t="shared" si="5"/>
        <v>Васнин В. В.</v>
      </c>
      <c r="K134" s="44">
        <v>42686</v>
      </c>
    </row>
    <row r="135" spans="1:11" x14ac:dyDescent="0.25">
      <c r="A135" s="43">
        <v>133</v>
      </c>
      <c r="B135" s="3">
        <v>5</v>
      </c>
      <c r="C135" s="2" t="str">
        <f>VLOOKUP('БАЗА (1)'!B135,'Справочник (2-3)'!$A$3:$B$9,2,FALSE)</f>
        <v>Омск</v>
      </c>
      <c r="D135" s="40">
        <v>42330</v>
      </c>
      <c r="E135" s="2">
        <v>12</v>
      </c>
      <c r="F135" s="9">
        <v>35746</v>
      </c>
      <c r="G135" s="9">
        <f t="shared" si="4"/>
        <v>428952</v>
      </c>
      <c r="H135" s="2" t="str" cm="1">
        <f t="array" ref="H135">_xlfn.IFS('БАЗА (1)'!G135&gt;10000000,'Справочник (2-3)'!$G$5,AND('БАЗА (1)'!G135&lt;=10000000,'БАЗА (1)'!G135&gt;=5000000),'Справочник (2-3)'!$G$4,'БАЗА (1)'!G135&lt;5000000,'Справочник (2-3)'!$G$3)</f>
        <v>C</v>
      </c>
      <c r="I135" s="2" t="s">
        <v>88</v>
      </c>
      <c r="J135" s="2" t="str">
        <f t="shared" si="5"/>
        <v>Ользатиева Л. Г.</v>
      </c>
      <c r="K135" s="44">
        <v>42330</v>
      </c>
    </row>
    <row r="136" spans="1:11" x14ac:dyDescent="0.25">
      <c r="A136" s="43">
        <v>134</v>
      </c>
      <c r="B136" s="3">
        <v>1</v>
      </c>
      <c r="C136" s="2" t="str">
        <f>VLOOKUP('БАЗА (1)'!B136,'Справочник (2-3)'!$A$3:$B$9,2,FALSE)</f>
        <v>Москва</v>
      </c>
      <c r="D136" s="40">
        <v>43061</v>
      </c>
      <c r="E136" s="2">
        <v>159</v>
      </c>
      <c r="F136" s="9">
        <v>47910</v>
      </c>
      <c r="G136" s="9">
        <f t="shared" si="4"/>
        <v>7617690</v>
      </c>
      <c r="H136" s="2" t="str" cm="1">
        <f t="array" ref="H136">_xlfn.IFS('БАЗА (1)'!G136&gt;10000000,'Справочник (2-3)'!$G$5,AND('БАЗА (1)'!G136&lt;=10000000,'БАЗА (1)'!G136&gt;=5000000),'Справочник (2-3)'!$G$4,'БАЗА (1)'!G136&lt;5000000,'Справочник (2-3)'!$G$3)</f>
        <v>B</v>
      </c>
      <c r="I136" s="2" t="s">
        <v>75</v>
      </c>
      <c r="J136" s="2" t="str">
        <f t="shared" si="5"/>
        <v>Крапивина Л. В.</v>
      </c>
      <c r="K136" s="44">
        <v>43061</v>
      </c>
    </row>
    <row r="137" spans="1:11" x14ac:dyDescent="0.25">
      <c r="A137" s="43">
        <v>135</v>
      </c>
      <c r="B137" s="3">
        <v>2</v>
      </c>
      <c r="C137" s="2" t="str">
        <f>VLOOKUP('БАЗА (1)'!B137,'Справочник (2-3)'!$A$3:$B$9,2,FALSE)</f>
        <v>Санкт-Петербург</v>
      </c>
      <c r="D137" s="40">
        <v>41986</v>
      </c>
      <c r="E137" s="2">
        <v>164</v>
      </c>
      <c r="F137" s="9">
        <v>24884</v>
      </c>
      <c r="G137" s="9">
        <f t="shared" si="4"/>
        <v>4080976</v>
      </c>
      <c r="H137" s="2" t="str" cm="1">
        <f t="array" ref="H137">_xlfn.IFS('БАЗА (1)'!G137&gt;10000000,'Справочник (2-3)'!$G$5,AND('БАЗА (1)'!G137&lt;=10000000,'БАЗА (1)'!G137&gt;=5000000),'Справочник (2-3)'!$G$4,'БАЗА (1)'!G137&lt;5000000,'Справочник (2-3)'!$G$3)</f>
        <v>C</v>
      </c>
      <c r="I137" s="2" t="s">
        <v>49</v>
      </c>
      <c r="J137" s="2" t="str">
        <f t="shared" si="5"/>
        <v>Барсукова Ф. А.</v>
      </c>
      <c r="K137" s="44">
        <v>41986</v>
      </c>
    </row>
    <row r="138" spans="1:11" x14ac:dyDescent="0.25">
      <c r="A138" s="43">
        <v>136</v>
      </c>
      <c r="B138" s="3">
        <v>5</v>
      </c>
      <c r="C138" s="2" t="str">
        <f>VLOOKUP('БАЗА (1)'!B138,'Справочник (2-3)'!$A$3:$B$9,2,FALSE)</f>
        <v>Омск</v>
      </c>
      <c r="D138" s="40">
        <v>42287</v>
      </c>
      <c r="E138" s="2">
        <v>150</v>
      </c>
      <c r="F138" s="9">
        <v>26354</v>
      </c>
      <c r="G138" s="9">
        <f t="shared" si="4"/>
        <v>3953100</v>
      </c>
      <c r="H138" s="2" t="str" cm="1">
        <f t="array" ref="H138">_xlfn.IFS('БАЗА (1)'!G138&gt;10000000,'Справочник (2-3)'!$G$5,AND('БАЗА (1)'!G138&lt;=10000000,'БАЗА (1)'!G138&gt;=5000000),'Справочник (2-3)'!$G$4,'БАЗА (1)'!G138&lt;5000000,'Справочник (2-3)'!$G$3)</f>
        <v>C</v>
      </c>
      <c r="I138" s="2" t="s">
        <v>56</v>
      </c>
      <c r="J138" s="2" t="str">
        <f t="shared" si="5"/>
        <v>Гребенева Т. В.</v>
      </c>
      <c r="K138" s="44">
        <v>42287</v>
      </c>
    </row>
    <row r="139" spans="1:11" x14ac:dyDescent="0.25">
      <c r="A139" s="43">
        <v>137</v>
      </c>
      <c r="B139" s="3">
        <v>2</v>
      </c>
      <c r="C139" s="2" t="str">
        <f>VLOOKUP('БАЗА (1)'!B139,'Справочник (2-3)'!$A$3:$B$9,2,FALSE)</f>
        <v>Санкт-Петербург</v>
      </c>
      <c r="D139" s="40">
        <v>43061</v>
      </c>
      <c r="E139" s="2">
        <v>101</v>
      </c>
      <c r="F139" s="9">
        <v>17937</v>
      </c>
      <c r="G139" s="9">
        <f t="shared" si="4"/>
        <v>1811637</v>
      </c>
      <c r="H139" s="2" t="str" cm="1">
        <f t="array" ref="H139">_xlfn.IFS('БАЗА (1)'!G139&gt;10000000,'Справочник (2-3)'!$G$5,AND('БАЗА (1)'!G139&lt;=10000000,'БАЗА (1)'!G139&gt;=5000000),'Справочник (2-3)'!$G$4,'БАЗА (1)'!G139&lt;5000000,'Справочник (2-3)'!$G$3)</f>
        <v>C</v>
      </c>
      <c r="I139" s="2" t="s">
        <v>97</v>
      </c>
      <c r="J139" s="2" t="str">
        <f t="shared" si="5"/>
        <v>Пономарева С. В.</v>
      </c>
      <c r="K139" s="44">
        <v>43061</v>
      </c>
    </row>
    <row r="140" spans="1:11" x14ac:dyDescent="0.25">
      <c r="A140" s="43">
        <v>138</v>
      </c>
      <c r="B140" s="3">
        <v>2</v>
      </c>
      <c r="C140" s="2" t="str">
        <f>VLOOKUP('БАЗА (1)'!B140,'Справочник (2-3)'!$A$3:$B$9,2,FALSE)</f>
        <v>Санкт-Петербург</v>
      </c>
      <c r="D140" s="40">
        <v>42364</v>
      </c>
      <c r="E140" s="2">
        <v>128</v>
      </c>
      <c r="F140" s="9">
        <v>19914</v>
      </c>
      <c r="G140" s="9">
        <f t="shared" si="4"/>
        <v>2548992</v>
      </c>
      <c r="H140" s="2" t="str" cm="1">
        <f t="array" ref="H140">_xlfn.IFS('БАЗА (1)'!G140&gt;10000000,'Справочник (2-3)'!$G$5,AND('БАЗА (1)'!G140&lt;=10000000,'БАЗА (1)'!G140&gt;=5000000),'Справочник (2-3)'!$G$4,'БАЗА (1)'!G140&lt;5000000,'Справочник (2-3)'!$G$3)</f>
        <v>C</v>
      </c>
      <c r="I140" s="2" t="s">
        <v>86</v>
      </c>
      <c r="J140" s="2" t="str">
        <f t="shared" si="5"/>
        <v>Неклюдова И. И.</v>
      </c>
      <c r="K140" s="44">
        <v>42364</v>
      </c>
    </row>
    <row r="141" spans="1:11" x14ac:dyDescent="0.25">
      <c r="A141" s="43">
        <v>139</v>
      </c>
      <c r="B141" s="3">
        <v>2</v>
      </c>
      <c r="C141" s="2" t="str">
        <f>VLOOKUP('БАЗА (1)'!B141,'Справочник (2-3)'!$A$3:$B$9,2,FALSE)</f>
        <v>Санкт-Петербург</v>
      </c>
      <c r="D141" s="40">
        <v>42662</v>
      </c>
      <c r="E141" s="2">
        <v>181</v>
      </c>
      <c r="F141" s="9">
        <v>3520</v>
      </c>
      <c r="G141" s="9">
        <f t="shared" si="4"/>
        <v>637120</v>
      </c>
      <c r="H141" s="2" t="str" cm="1">
        <f t="array" ref="H141">_xlfn.IFS('БАЗА (1)'!G141&gt;10000000,'Справочник (2-3)'!$G$5,AND('БАЗА (1)'!G141&lt;=10000000,'БАЗА (1)'!G141&gt;=5000000),'Справочник (2-3)'!$G$4,'БАЗА (1)'!G141&lt;5000000,'Справочник (2-3)'!$G$3)</f>
        <v>C</v>
      </c>
      <c r="I141" s="2" t="s">
        <v>80</v>
      </c>
      <c r="J141" s="2" t="str">
        <f t="shared" si="5"/>
        <v>Макарова Н. Я.</v>
      </c>
      <c r="K141" s="44">
        <v>42662</v>
      </c>
    </row>
    <row r="142" spans="1:11" x14ac:dyDescent="0.25">
      <c r="A142" s="43">
        <v>140</v>
      </c>
      <c r="B142" s="3">
        <v>4</v>
      </c>
      <c r="C142" s="2" t="str">
        <f>VLOOKUP('БАЗА (1)'!B142,'Справочник (2-3)'!$A$3:$B$9,2,FALSE)</f>
        <v>Казань</v>
      </c>
      <c r="D142" s="40">
        <v>41632</v>
      </c>
      <c r="E142" s="2">
        <v>174</v>
      </c>
      <c r="F142" s="9">
        <v>64093</v>
      </c>
      <c r="G142" s="9">
        <f t="shared" si="4"/>
        <v>11152182</v>
      </c>
      <c r="H142" s="2" t="str" cm="1">
        <f t="array" ref="H142">_xlfn.IFS('БАЗА (1)'!G142&gt;10000000,'Справочник (2-3)'!$G$5,AND('БАЗА (1)'!G142&lt;=10000000,'БАЗА (1)'!G142&gt;=5000000),'Справочник (2-3)'!$G$4,'БАЗА (1)'!G142&lt;5000000,'Справочник (2-3)'!$G$3)</f>
        <v>A</v>
      </c>
      <c r="I142" s="2" t="s">
        <v>95</v>
      </c>
      <c r="J142" s="2" t="str">
        <f t="shared" si="5"/>
        <v>Пиканов В. П.</v>
      </c>
      <c r="K142" s="44">
        <v>41632</v>
      </c>
    </row>
    <row r="143" spans="1:11" x14ac:dyDescent="0.25">
      <c r="A143" s="43">
        <v>141</v>
      </c>
      <c r="B143" s="3">
        <v>5</v>
      </c>
      <c r="C143" s="2" t="str">
        <f>VLOOKUP('БАЗА (1)'!B143,'Справочник (2-3)'!$A$3:$B$9,2,FALSE)</f>
        <v>Омск</v>
      </c>
      <c r="D143" s="40">
        <v>42324</v>
      </c>
      <c r="E143" s="2">
        <v>38</v>
      </c>
      <c r="F143" s="9">
        <v>54398</v>
      </c>
      <c r="G143" s="9">
        <f t="shared" si="4"/>
        <v>2067124</v>
      </c>
      <c r="H143" s="2" t="str" cm="1">
        <f t="array" ref="H143">_xlfn.IFS('БАЗА (1)'!G143&gt;10000000,'Справочник (2-3)'!$G$5,AND('БАЗА (1)'!G143&lt;=10000000,'БАЗА (1)'!G143&gt;=5000000),'Справочник (2-3)'!$G$4,'БАЗА (1)'!G143&lt;5000000,'Справочник (2-3)'!$G$3)</f>
        <v>C</v>
      </c>
      <c r="I143" s="2" t="s">
        <v>87</v>
      </c>
      <c r="J143" s="2" t="str">
        <f t="shared" si="5"/>
        <v>Олифер Е. Р.</v>
      </c>
      <c r="K143" s="44">
        <v>42324</v>
      </c>
    </row>
    <row r="144" spans="1:11" x14ac:dyDescent="0.25">
      <c r="A144" s="43">
        <v>142</v>
      </c>
      <c r="B144" s="3">
        <v>6</v>
      </c>
      <c r="C144" s="2" t="str">
        <f>VLOOKUP('БАЗА (1)'!B144,'Справочник (2-3)'!$A$3:$B$9,2,FALSE)</f>
        <v>Харьков</v>
      </c>
      <c r="D144" s="40">
        <v>41572</v>
      </c>
      <c r="E144" s="2">
        <v>20</v>
      </c>
      <c r="F144" s="9">
        <v>82002</v>
      </c>
      <c r="G144" s="9">
        <f t="shared" si="4"/>
        <v>1640040</v>
      </c>
      <c r="H144" s="2" t="str" cm="1">
        <f t="array" ref="H144">_xlfn.IFS('БАЗА (1)'!G144&gt;10000000,'Справочник (2-3)'!$G$5,AND('БАЗА (1)'!G144&lt;=10000000,'БАЗА (1)'!G144&gt;=5000000),'Справочник (2-3)'!$G$4,'БАЗА (1)'!G144&lt;5000000,'Справочник (2-3)'!$G$3)</f>
        <v>C</v>
      </c>
      <c r="I144" s="2" t="s">
        <v>48</v>
      </c>
      <c r="J144" s="2" t="str">
        <f t="shared" si="5"/>
        <v>Бармина Ю. А.</v>
      </c>
      <c r="K144" s="44">
        <v>41572</v>
      </c>
    </row>
    <row r="145" spans="1:11" x14ac:dyDescent="0.25">
      <c r="A145" s="43">
        <v>143</v>
      </c>
      <c r="B145" s="3">
        <v>2</v>
      </c>
      <c r="C145" s="2" t="str">
        <f>VLOOKUP('БАЗА (1)'!B145,'Справочник (2-3)'!$A$3:$B$9,2,FALSE)</f>
        <v>Санкт-Петербург</v>
      </c>
      <c r="D145" s="40">
        <v>41923</v>
      </c>
      <c r="E145" s="2">
        <v>136</v>
      </c>
      <c r="F145" s="9">
        <v>86914</v>
      </c>
      <c r="G145" s="9">
        <f t="shared" si="4"/>
        <v>11820304</v>
      </c>
      <c r="H145" s="2" t="str" cm="1">
        <f t="array" ref="H145">_xlfn.IFS('БАЗА (1)'!G145&gt;10000000,'Справочник (2-3)'!$G$5,AND('БАЗА (1)'!G145&lt;=10000000,'БАЗА (1)'!G145&gt;=5000000),'Справочник (2-3)'!$G$4,'БАЗА (1)'!G145&lt;5000000,'Справочник (2-3)'!$G$3)</f>
        <v>A</v>
      </c>
      <c r="I145" s="2" t="s">
        <v>91</v>
      </c>
      <c r="J145" s="2" t="str">
        <f t="shared" si="5"/>
        <v>Паршакова Т. Л.</v>
      </c>
      <c r="K145" s="44">
        <v>41923</v>
      </c>
    </row>
    <row r="146" spans="1:11" x14ac:dyDescent="0.25">
      <c r="A146" s="43">
        <v>144</v>
      </c>
      <c r="B146" s="3">
        <v>4</v>
      </c>
      <c r="C146" s="2" t="str">
        <f>VLOOKUP('БАЗА (1)'!B146,'Справочник (2-3)'!$A$3:$B$9,2,FALSE)</f>
        <v>Казань</v>
      </c>
      <c r="D146" s="40">
        <v>41633</v>
      </c>
      <c r="E146" s="2">
        <v>148</v>
      </c>
      <c r="F146" s="9">
        <v>34871</v>
      </c>
      <c r="G146" s="9">
        <f t="shared" si="4"/>
        <v>5160908</v>
      </c>
      <c r="H146" s="2" t="str" cm="1">
        <f t="array" ref="H146">_xlfn.IFS('БАЗА (1)'!G146&gt;10000000,'Справочник (2-3)'!$G$5,AND('БАЗА (1)'!G146&lt;=10000000,'БАЗА (1)'!G146&gt;=5000000),'Справочник (2-3)'!$G$4,'БАЗА (1)'!G146&lt;5000000,'Справочник (2-3)'!$G$3)</f>
        <v>B</v>
      </c>
      <c r="I146" s="2" t="s">
        <v>62</v>
      </c>
      <c r="J146" s="2" t="str">
        <f t="shared" si="5"/>
        <v>Зубова И. М.</v>
      </c>
      <c r="K146" s="44">
        <v>41633</v>
      </c>
    </row>
    <row r="147" spans="1:11" x14ac:dyDescent="0.25">
      <c r="A147" s="43">
        <v>145</v>
      </c>
      <c r="B147" s="3">
        <v>3</v>
      </c>
      <c r="C147" s="2" t="str">
        <f>VLOOKUP('БАЗА (1)'!B147,'Справочник (2-3)'!$A$3:$B$9,2,FALSE)</f>
        <v>Челябинск</v>
      </c>
      <c r="D147" s="40">
        <v>41963</v>
      </c>
      <c r="E147" s="2">
        <v>154</v>
      </c>
      <c r="F147" s="9">
        <v>22356</v>
      </c>
      <c r="G147" s="9">
        <f t="shared" si="4"/>
        <v>3442824</v>
      </c>
      <c r="H147" s="2" t="str" cm="1">
        <f t="array" ref="H147">_xlfn.IFS('БАЗА (1)'!G147&gt;10000000,'Справочник (2-3)'!$G$5,AND('БАЗА (1)'!G147&lt;=10000000,'БАЗА (1)'!G147&gt;=5000000),'Справочник (2-3)'!$G$4,'БАЗА (1)'!G147&lt;5000000,'Справочник (2-3)'!$G$3)</f>
        <v>C</v>
      </c>
      <c r="I147" s="2" t="s">
        <v>51</v>
      </c>
      <c r="J147" s="2" t="str">
        <f t="shared" si="5"/>
        <v>Васнин В. В.</v>
      </c>
      <c r="K147" s="44">
        <v>41963</v>
      </c>
    </row>
    <row r="148" spans="1:11" x14ac:dyDescent="0.25">
      <c r="A148" s="43">
        <v>146</v>
      </c>
      <c r="B148" s="3">
        <v>2</v>
      </c>
      <c r="C148" s="2" t="str">
        <f>VLOOKUP('БАЗА (1)'!B148,'Справочник (2-3)'!$A$3:$B$9,2,FALSE)</f>
        <v>Санкт-Петербург</v>
      </c>
      <c r="D148" s="40">
        <v>41604</v>
      </c>
      <c r="E148" s="2">
        <v>14</v>
      </c>
      <c r="F148" s="9">
        <v>22495</v>
      </c>
      <c r="G148" s="9">
        <f t="shared" si="4"/>
        <v>314930</v>
      </c>
      <c r="H148" s="2" t="str" cm="1">
        <f t="array" ref="H148">_xlfn.IFS('БАЗА (1)'!G148&gt;10000000,'Справочник (2-3)'!$G$5,AND('БАЗА (1)'!G148&lt;=10000000,'БАЗА (1)'!G148&gt;=5000000),'Справочник (2-3)'!$G$4,'БАЗА (1)'!G148&lt;5000000,'Справочник (2-3)'!$G$3)</f>
        <v>C</v>
      </c>
      <c r="I148" s="2" t="s">
        <v>65</v>
      </c>
      <c r="J148" s="2" t="str">
        <f t="shared" si="5"/>
        <v>Иванова Л. Н.</v>
      </c>
      <c r="K148" s="44">
        <v>41604</v>
      </c>
    </row>
    <row r="149" spans="1:11" x14ac:dyDescent="0.25">
      <c r="A149" s="43">
        <v>147</v>
      </c>
      <c r="B149" s="3">
        <v>2</v>
      </c>
      <c r="C149" s="2" t="str">
        <f>VLOOKUP('БАЗА (1)'!B149,'Справочник (2-3)'!$A$3:$B$9,2,FALSE)</f>
        <v>Санкт-Петербург</v>
      </c>
      <c r="D149" s="40">
        <v>41992</v>
      </c>
      <c r="E149" s="2">
        <v>5</v>
      </c>
      <c r="F149" s="9">
        <v>56001</v>
      </c>
      <c r="G149" s="9">
        <f t="shared" si="4"/>
        <v>280005</v>
      </c>
      <c r="H149" s="2" t="str" cm="1">
        <f t="array" ref="H149">_xlfn.IFS('БАЗА (1)'!G149&gt;10000000,'Справочник (2-3)'!$G$5,AND('БАЗА (1)'!G149&lt;=10000000,'БАЗА (1)'!G149&gt;=5000000),'Справочник (2-3)'!$G$4,'БАЗА (1)'!G149&lt;5000000,'Справочник (2-3)'!$G$3)</f>
        <v>C</v>
      </c>
      <c r="I149" s="2" t="s">
        <v>90</v>
      </c>
      <c r="J149" s="2" t="str">
        <f t="shared" si="5"/>
        <v>Павлова Н. И.</v>
      </c>
      <c r="K149" s="44">
        <v>41992</v>
      </c>
    </row>
    <row r="150" spans="1:11" x14ac:dyDescent="0.25">
      <c r="A150" s="43">
        <v>148</v>
      </c>
      <c r="B150" s="3">
        <v>5</v>
      </c>
      <c r="C150" s="2" t="str">
        <f>VLOOKUP('БАЗА (1)'!B150,'Справочник (2-3)'!$A$3:$B$9,2,FALSE)</f>
        <v>Омск</v>
      </c>
      <c r="D150" s="40">
        <v>42326</v>
      </c>
      <c r="E150" s="2">
        <v>65</v>
      </c>
      <c r="F150" s="9">
        <v>79130</v>
      </c>
      <c r="G150" s="9">
        <f t="shared" si="4"/>
        <v>5143450</v>
      </c>
      <c r="H150" s="2" t="str" cm="1">
        <f t="array" ref="H150">_xlfn.IFS('БАЗА (1)'!G150&gt;10000000,'Справочник (2-3)'!$G$5,AND('БАЗА (1)'!G150&lt;=10000000,'БАЗА (1)'!G150&gt;=5000000),'Справочник (2-3)'!$G$4,'БАЗА (1)'!G150&lt;5000000,'Справочник (2-3)'!$G$3)</f>
        <v>B</v>
      </c>
      <c r="I150" s="2" t="s">
        <v>97</v>
      </c>
      <c r="J150" s="2" t="str">
        <f t="shared" si="5"/>
        <v>Пономарева С. В.</v>
      </c>
      <c r="K150" s="44">
        <v>42326</v>
      </c>
    </row>
    <row r="151" spans="1:11" x14ac:dyDescent="0.25">
      <c r="A151" s="43">
        <v>149</v>
      </c>
      <c r="B151" s="3">
        <v>2</v>
      </c>
      <c r="C151" s="2" t="str">
        <f>VLOOKUP('БАЗА (1)'!B151,'Справочник (2-3)'!$A$3:$B$9,2,FALSE)</f>
        <v>Санкт-Петербург</v>
      </c>
      <c r="D151" s="40">
        <v>43023</v>
      </c>
      <c r="E151" s="2">
        <v>141</v>
      </c>
      <c r="F151" s="9">
        <v>53728</v>
      </c>
      <c r="G151" s="9">
        <f t="shared" si="4"/>
        <v>7575648</v>
      </c>
      <c r="H151" s="2" t="str" cm="1">
        <f t="array" ref="H151">_xlfn.IFS('БАЗА (1)'!G151&gt;10000000,'Справочник (2-3)'!$G$5,AND('БАЗА (1)'!G151&lt;=10000000,'БАЗА (1)'!G151&gt;=5000000),'Справочник (2-3)'!$G$4,'БАЗА (1)'!G151&lt;5000000,'Справочник (2-3)'!$G$3)</f>
        <v>B</v>
      </c>
      <c r="I151" s="2" t="s">
        <v>94</v>
      </c>
      <c r="J151" s="2" t="str">
        <f t="shared" si="5"/>
        <v>Петрушкевич О. В.</v>
      </c>
      <c r="K151" s="44">
        <v>43023</v>
      </c>
    </row>
    <row r="152" spans="1:11" x14ac:dyDescent="0.25">
      <c r="A152" s="43">
        <v>150</v>
      </c>
      <c r="B152" s="3">
        <v>3</v>
      </c>
      <c r="C152" s="2" t="str">
        <f>VLOOKUP('БАЗА (1)'!B152,'Справочник (2-3)'!$A$3:$B$9,2,FALSE)</f>
        <v>Челябинск</v>
      </c>
      <c r="D152" s="40">
        <v>41932</v>
      </c>
      <c r="E152" s="2">
        <v>190</v>
      </c>
      <c r="F152" s="9">
        <v>34582</v>
      </c>
      <c r="G152" s="9">
        <f t="shared" si="4"/>
        <v>6570580</v>
      </c>
      <c r="H152" s="2" t="str" cm="1">
        <f t="array" ref="H152">_xlfn.IFS('БАЗА (1)'!G152&gt;10000000,'Справочник (2-3)'!$G$5,AND('БАЗА (1)'!G152&lt;=10000000,'БАЗА (1)'!G152&gt;=5000000),'Справочник (2-3)'!$G$4,'БАЗА (1)'!G152&lt;5000000,'Справочник (2-3)'!$G$3)</f>
        <v>B</v>
      </c>
      <c r="I152" s="2" t="s">
        <v>82</v>
      </c>
      <c r="J152" s="2" t="str">
        <f t="shared" si="5"/>
        <v>Меркушев А. С.</v>
      </c>
      <c r="K152" s="44">
        <v>41932</v>
      </c>
    </row>
    <row r="153" spans="1:11" x14ac:dyDescent="0.25">
      <c r="A153" s="43">
        <v>151</v>
      </c>
      <c r="B153" s="3">
        <v>5</v>
      </c>
      <c r="C153" s="2" t="str">
        <f>VLOOKUP('БАЗА (1)'!B153,'Справочник (2-3)'!$A$3:$B$9,2,FALSE)</f>
        <v>Омск</v>
      </c>
      <c r="D153" s="40">
        <v>42364</v>
      </c>
      <c r="E153" s="2">
        <v>188</v>
      </c>
      <c r="F153" s="9">
        <v>60856</v>
      </c>
      <c r="G153" s="9">
        <f t="shared" si="4"/>
        <v>11440928</v>
      </c>
      <c r="H153" s="2" t="str" cm="1">
        <f t="array" ref="H153">_xlfn.IFS('БАЗА (1)'!G153&gt;10000000,'Справочник (2-3)'!$G$5,AND('БАЗА (1)'!G153&lt;=10000000,'БАЗА (1)'!G153&gt;=5000000),'Справочник (2-3)'!$G$4,'БАЗА (1)'!G153&lt;5000000,'Справочник (2-3)'!$G$3)</f>
        <v>A</v>
      </c>
      <c r="I153" s="2" t="s">
        <v>47</v>
      </c>
      <c r="J153" s="2" t="str">
        <f t="shared" si="5"/>
        <v>Байбикова Н. М.</v>
      </c>
      <c r="K153" s="44">
        <v>42364</v>
      </c>
    </row>
    <row r="154" spans="1:11" x14ac:dyDescent="0.25">
      <c r="A154" s="43">
        <v>152</v>
      </c>
      <c r="B154" s="3">
        <v>2</v>
      </c>
      <c r="C154" s="2" t="str">
        <f>VLOOKUP('БАЗА (1)'!B154,'Справочник (2-3)'!$A$3:$B$9,2,FALSE)</f>
        <v>Санкт-Петербург</v>
      </c>
      <c r="D154" s="40">
        <v>41557</v>
      </c>
      <c r="E154" s="2">
        <v>109</v>
      </c>
      <c r="F154" s="9">
        <v>89815</v>
      </c>
      <c r="G154" s="9">
        <f t="shared" si="4"/>
        <v>9789835</v>
      </c>
      <c r="H154" s="2" t="str" cm="1">
        <f t="array" ref="H154">_xlfn.IFS('БАЗА (1)'!G154&gt;10000000,'Справочник (2-3)'!$G$5,AND('БАЗА (1)'!G154&lt;=10000000,'БАЗА (1)'!G154&gt;=5000000),'Справочник (2-3)'!$G$4,'БАЗА (1)'!G154&lt;5000000,'Справочник (2-3)'!$G$3)</f>
        <v>B</v>
      </c>
      <c r="I154" s="2" t="s">
        <v>63</v>
      </c>
      <c r="J154" s="2" t="str">
        <f t="shared" si="5"/>
        <v>Зуева Е. Ю.</v>
      </c>
      <c r="K154" s="44">
        <v>41557</v>
      </c>
    </row>
    <row r="155" spans="1:11" x14ac:dyDescent="0.25">
      <c r="A155" s="43">
        <v>153</v>
      </c>
      <c r="B155" s="3">
        <v>1</v>
      </c>
      <c r="C155" s="2" t="str">
        <f>VLOOKUP('БАЗА (1)'!B155,'Справочник (2-3)'!$A$3:$B$9,2,FALSE)</f>
        <v>Москва</v>
      </c>
      <c r="D155" s="40">
        <v>43023</v>
      </c>
      <c r="E155" s="2">
        <v>157</v>
      </c>
      <c r="F155" s="9">
        <v>56720</v>
      </c>
      <c r="G155" s="9">
        <f t="shared" si="4"/>
        <v>8905040</v>
      </c>
      <c r="H155" s="2" t="str" cm="1">
        <f t="array" ref="H155">_xlfn.IFS('БАЗА (1)'!G155&gt;10000000,'Справочник (2-3)'!$G$5,AND('БАЗА (1)'!G155&lt;=10000000,'БАЗА (1)'!G155&gt;=5000000),'Справочник (2-3)'!$G$4,'БАЗА (1)'!G155&lt;5000000,'Справочник (2-3)'!$G$3)</f>
        <v>B</v>
      </c>
      <c r="I155" s="2" t="s">
        <v>46</v>
      </c>
      <c r="J155" s="2" t="str">
        <f t="shared" si="5"/>
        <v>Анфалова Л. Р.</v>
      </c>
      <c r="K155" s="44">
        <v>43023</v>
      </c>
    </row>
    <row r="156" spans="1:11" x14ac:dyDescent="0.25">
      <c r="A156" s="43">
        <v>154</v>
      </c>
      <c r="B156" s="3">
        <v>1</v>
      </c>
      <c r="C156" s="2" t="str">
        <f>VLOOKUP('БАЗА (1)'!B156,'Справочник (2-3)'!$A$3:$B$9,2,FALSE)</f>
        <v>Москва</v>
      </c>
      <c r="D156" s="40">
        <v>42299</v>
      </c>
      <c r="E156" s="2">
        <v>53</v>
      </c>
      <c r="F156" s="9">
        <v>30449</v>
      </c>
      <c r="G156" s="9">
        <f t="shared" si="4"/>
        <v>1613797</v>
      </c>
      <c r="H156" s="2" t="str" cm="1">
        <f t="array" ref="H156">_xlfn.IFS('БАЗА (1)'!G156&gt;10000000,'Справочник (2-3)'!$G$5,AND('БАЗА (1)'!G156&lt;=10000000,'БАЗА (1)'!G156&gt;=5000000),'Справочник (2-3)'!$G$4,'БАЗА (1)'!G156&lt;5000000,'Справочник (2-3)'!$G$3)</f>
        <v>C</v>
      </c>
      <c r="I156" s="2" t="s">
        <v>62</v>
      </c>
      <c r="J156" s="2" t="str">
        <f t="shared" si="5"/>
        <v>Зубова И. М.</v>
      </c>
      <c r="K156" s="44">
        <v>42299</v>
      </c>
    </row>
    <row r="157" spans="1:11" x14ac:dyDescent="0.25">
      <c r="A157" s="43">
        <v>155</v>
      </c>
      <c r="B157" s="3">
        <v>3</v>
      </c>
      <c r="C157" s="2" t="str">
        <f>VLOOKUP('БАЗА (1)'!B157,'Справочник (2-3)'!$A$3:$B$9,2,FALSE)</f>
        <v>Челябинск</v>
      </c>
      <c r="D157" s="40">
        <v>41593</v>
      </c>
      <c r="E157" s="2">
        <v>36</v>
      </c>
      <c r="F157" s="9">
        <v>21104</v>
      </c>
      <c r="G157" s="9">
        <f t="shared" si="4"/>
        <v>759744</v>
      </c>
      <c r="H157" s="2" t="str" cm="1">
        <f t="array" ref="H157">_xlfn.IFS('БАЗА (1)'!G157&gt;10000000,'Справочник (2-3)'!$G$5,AND('БАЗА (1)'!G157&lt;=10000000,'БАЗА (1)'!G157&gt;=5000000),'Справочник (2-3)'!$G$4,'БАЗА (1)'!G157&lt;5000000,'Справочник (2-3)'!$G$3)</f>
        <v>C</v>
      </c>
      <c r="I157" s="2" t="s">
        <v>66</v>
      </c>
      <c r="J157" s="2" t="str">
        <f t="shared" si="5"/>
        <v>Ильина Т. Н.</v>
      </c>
      <c r="K157" s="44">
        <v>41593</v>
      </c>
    </row>
    <row r="158" spans="1:11" x14ac:dyDescent="0.25">
      <c r="A158" s="43">
        <v>156</v>
      </c>
      <c r="B158" s="3">
        <v>1</v>
      </c>
      <c r="C158" s="2" t="str">
        <f>VLOOKUP('БАЗА (1)'!B158,'Справочник (2-3)'!$A$3:$B$9,2,FALSE)</f>
        <v>Москва</v>
      </c>
      <c r="D158" s="40">
        <v>42686</v>
      </c>
      <c r="E158" s="2">
        <v>150</v>
      </c>
      <c r="F158" s="9">
        <v>94126</v>
      </c>
      <c r="G158" s="9">
        <f t="shared" si="4"/>
        <v>14118900</v>
      </c>
      <c r="H158" s="2" t="str" cm="1">
        <f t="array" ref="H158">_xlfn.IFS('БАЗА (1)'!G158&gt;10000000,'Справочник (2-3)'!$G$5,AND('БАЗА (1)'!G158&lt;=10000000,'БАЗА (1)'!G158&gt;=5000000),'Справочник (2-3)'!$G$4,'БАЗА (1)'!G158&lt;5000000,'Справочник (2-3)'!$G$3)</f>
        <v>A</v>
      </c>
      <c r="I158" s="2" t="s">
        <v>51</v>
      </c>
      <c r="J158" s="2" t="str">
        <f t="shared" si="5"/>
        <v>Васнин В. В.</v>
      </c>
      <c r="K158" s="44">
        <v>42686</v>
      </c>
    </row>
    <row r="159" spans="1:11" x14ac:dyDescent="0.25">
      <c r="A159" s="43">
        <v>157</v>
      </c>
      <c r="B159" s="3">
        <v>4</v>
      </c>
      <c r="C159" s="2" t="str">
        <f>VLOOKUP('БАЗА (1)'!B159,'Справочник (2-3)'!$A$3:$B$9,2,FALSE)</f>
        <v>Казань</v>
      </c>
      <c r="D159" s="40">
        <v>43025</v>
      </c>
      <c r="E159" s="2">
        <v>161</v>
      </c>
      <c r="F159" s="9">
        <v>32320</v>
      </c>
      <c r="G159" s="9">
        <f t="shared" si="4"/>
        <v>5203520</v>
      </c>
      <c r="H159" s="2" t="str" cm="1">
        <f t="array" ref="H159">_xlfn.IFS('БАЗА (1)'!G159&gt;10000000,'Справочник (2-3)'!$G$5,AND('БАЗА (1)'!G159&lt;=10000000,'БАЗА (1)'!G159&gt;=5000000),'Справочник (2-3)'!$G$4,'БАЗА (1)'!G159&lt;5000000,'Справочник (2-3)'!$G$3)</f>
        <v>B</v>
      </c>
      <c r="I159" s="2" t="s">
        <v>86</v>
      </c>
      <c r="J159" s="2" t="str">
        <f t="shared" si="5"/>
        <v>Неклюдова И. И.</v>
      </c>
      <c r="K159" s="44">
        <v>43025</v>
      </c>
    </row>
    <row r="160" spans="1:11" x14ac:dyDescent="0.25">
      <c r="A160" s="43">
        <v>158</v>
      </c>
      <c r="B160" s="3">
        <v>1</v>
      </c>
      <c r="C160" s="2" t="str">
        <f>VLOOKUP('БАЗА (1)'!B160,'Справочник (2-3)'!$A$3:$B$9,2,FALSE)</f>
        <v>Москва</v>
      </c>
      <c r="D160" s="40">
        <v>41631</v>
      </c>
      <c r="E160" s="2">
        <v>186</v>
      </c>
      <c r="F160" s="9">
        <v>55634</v>
      </c>
      <c r="G160" s="9">
        <f t="shared" si="4"/>
        <v>10347924</v>
      </c>
      <c r="H160" s="2" t="str" cm="1">
        <f t="array" ref="H160">_xlfn.IFS('БАЗА (1)'!G160&gt;10000000,'Справочник (2-3)'!$G$5,AND('БАЗА (1)'!G160&lt;=10000000,'БАЗА (1)'!G160&gt;=5000000),'Справочник (2-3)'!$G$4,'БАЗА (1)'!G160&lt;5000000,'Справочник (2-3)'!$G$3)</f>
        <v>A</v>
      </c>
      <c r="I160" s="2" t="s">
        <v>80</v>
      </c>
      <c r="J160" s="2" t="str">
        <f t="shared" si="5"/>
        <v>Макарова Н. Я.</v>
      </c>
      <c r="K160" s="44">
        <v>41631</v>
      </c>
    </row>
    <row r="161" spans="1:11" x14ac:dyDescent="0.25">
      <c r="A161" s="43">
        <v>159</v>
      </c>
      <c r="B161" s="3">
        <v>4</v>
      </c>
      <c r="C161" s="2" t="str">
        <f>VLOOKUP('БАЗА (1)'!B161,'Справочник (2-3)'!$A$3:$B$9,2,FALSE)</f>
        <v>Казань</v>
      </c>
      <c r="D161" s="40">
        <v>42689</v>
      </c>
      <c r="E161" s="2">
        <v>96</v>
      </c>
      <c r="F161" s="9">
        <v>5845</v>
      </c>
      <c r="G161" s="9">
        <f t="shared" si="4"/>
        <v>561120</v>
      </c>
      <c r="H161" s="2" t="str" cm="1">
        <f t="array" ref="H161">_xlfn.IFS('БАЗА (1)'!G161&gt;10000000,'Справочник (2-3)'!$G$5,AND('БАЗА (1)'!G161&lt;=10000000,'БАЗА (1)'!G161&gt;=5000000),'Справочник (2-3)'!$G$4,'БАЗА (1)'!G161&lt;5000000,'Справочник (2-3)'!$G$3)</f>
        <v>C</v>
      </c>
      <c r="I161" s="2" t="s">
        <v>87</v>
      </c>
      <c r="J161" s="2" t="str">
        <f t="shared" si="5"/>
        <v>Олифер Е. Р.</v>
      </c>
      <c r="K161" s="44">
        <v>42689</v>
      </c>
    </row>
    <row r="162" spans="1:11" x14ac:dyDescent="0.25">
      <c r="A162" s="43">
        <v>160</v>
      </c>
      <c r="B162" s="3">
        <v>6</v>
      </c>
      <c r="C162" s="2" t="str">
        <f>VLOOKUP('БАЗА (1)'!B162,'Справочник (2-3)'!$A$3:$B$9,2,FALSE)</f>
        <v>Харьков</v>
      </c>
      <c r="D162" s="40">
        <v>43053</v>
      </c>
      <c r="E162" s="2">
        <v>28</v>
      </c>
      <c r="F162" s="9">
        <v>35595</v>
      </c>
      <c r="G162" s="9">
        <f t="shared" si="4"/>
        <v>996660</v>
      </c>
      <c r="H162" s="2" t="str" cm="1">
        <f t="array" ref="H162">_xlfn.IFS('БАЗА (1)'!G162&gt;10000000,'Справочник (2-3)'!$G$5,AND('БАЗА (1)'!G162&lt;=10000000,'БАЗА (1)'!G162&gt;=5000000),'Справочник (2-3)'!$G$4,'БАЗА (1)'!G162&lt;5000000,'Справочник (2-3)'!$G$3)</f>
        <v>C</v>
      </c>
      <c r="I162" s="2" t="s">
        <v>54</v>
      </c>
      <c r="J162" s="2" t="str">
        <f t="shared" si="5"/>
        <v>Голдобина А. В.</v>
      </c>
      <c r="K162" s="44">
        <v>43053</v>
      </c>
    </row>
    <row r="163" spans="1:11" x14ac:dyDescent="0.25">
      <c r="A163" s="43">
        <v>161</v>
      </c>
      <c r="B163" s="3">
        <v>4</v>
      </c>
      <c r="C163" s="2" t="str">
        <f>VLOOKUP('БАЗА (1)'!B163,'Справочник (2-3)'!$A$3:$B$9,2,FALSE)</f>
        <v>Казань</v>
      </c>
      <c r="D163" s="40">
        <v>41963</v>
      </c>
      <c r="E163" s="2">
        <v>28</v>
      </c>
      <c r="F163" s="9">
        <v>57747</v>
      </c>
      <c r="G163" s="9">
        <f t="shared" si="4"/>
        <v>1616916</v>
      </c>
      <c r="H163" s="2" t="str" cm="1">
        <f t="array" ref="H163">_xlfn.IFS('БАЗА (1)'!G163&gt;10000000,'Справочник (2-3)'!$G$5,AND('БАЗА (1)'!G163&lt;=10000000,'БАЗА (1)'!G163&gt;=5000000),'Справочник (2-3)'!$G$4,'БАЗА (1)'!G163&lt;5000000,'Справочник (2-3)'!$G$3)</f>
        <v>C</v>
      </c>
      <c r="I163" s="2" t="s">
        <v>46</v>
      </c>
      <c r="J163" s="2" t="str">
        <f t="shared" si="5"/>
        <v>Анфалова Л. Р.</v>
      </c>
      <c r="K163" s="44">
        <v>41963</v>
      </c>
    </row>
    <row r="164" spans="1:11" x14ac:dyDescent="0.25">
      <c r="A164" s="43">
        <v>162</v>
      </c>
      <c r="B164" s="3">
        <v>5</v>
      </c>
      <c r="C164" s="2" t="str">
        <f>VLOOKUP('БАЗА (1)'!B164,'Справочник (2-3)'!$A$3:$B$9,2,FALSE)</f>
        <v>Омск</v>
      </c>
      <c r="D164" s="40">
        <v>42701</v>
      </c>
      <c r="E164" s="2">
        <v>190</v>
      </c>
      <c r="F164" s="9">
        <v>86548</v>
      </c>
      <c r="G164" s="9">
        <f t="shared" si="4"/>
        <v>16444120</v>
      </c>
      <c r="H164" s="2" t="str" cm="1">
        <f t="array" ref="H164">_xlfn.IFS('БАЗА (1)'!G164&gt;10000000,'Справочник (2-3)'!$G$5,AND('БАЗА (1)'!G164&lt;=10000000,'БАЗА (1)'!G164&gt;=5000000),'Справочник (2-3)'!$G$4,'БАЗА (1)'!G164&lt;5000000,'Справочник (2-3)'!$G$3)</f>
        <v>A</v>
      </c>
      <c r="I164" s="2" t="s">
        <v>68</v>
      </c>
      <c r="J164" s="2" t="str">
        <f t="shared" si="5"/>
        <v>Кадырова Е. А.</v>
      </c>
      <c r="K164" s="44">
        <v>42701</v>
      </c>
    </row>
    <row r="165" spans="1:11" x14ac:dyDescent="0.25">
      <c r="A165" s="43">
        <v>163</v>
      </c>
      <c r="B165" s="3">
        <v>7</v>
      </c>
      <c r="C165" s="2" t="str">
        <f>VLOOKUP('БАЗА (1)'!B165,'Справочник (2-3)'!$A$3:$B$9,2,FALSE)</f>
        <v>Йошкар-Ола</v>
      </c>
      <c r="D165" s="40">
        <v>42320</v>
      </c>
      <c r="E165" s="2">
        <v>37</v>
      </c>
      <c r="F165" s="9">
        <v>88851</v>
      </c>
      <c r="G165" s="9">
        <f t="shared" si="4"/>
        <v>3287487</v>
      </c>
      <c r="H165" s="2" t="str" cm="1">
        <f t="array" ref="H165">_xlfn.IFS('БАЗА (1)'!G165&gt;10000000,'Справочник (2-3)'!$G$5,AND('БАЗА (1)'!G165&lt;=10000000,'БАЗА (1)'!G165&gt;=5000000),'Справочник (2-3)'!$G$4,'БАЗА (1)'!G165&lt;5000000,'Справочник (2-3)'!$G$3)</f>
        <v>C</v>
      </c>
      <c r="I165" s="2" t="s">
        <v>48</v>
      </c>
      <c r="J165" s="2" t="str">
        <f t="shared" si="5"/>
        <v>Бармина Ю. А.</v>
      </c>
      <c r="K165" s="44">
        <v>42320</v>
      </c>
    </row>
    <row r="166" spans="1:11" x14ac:dyDescent="0.25">
      <c r="A166" s="43">
        <v>164</v>
      </c>
      <c r="B166" s="3">
        <v>5</v>
      </c>
      <c r="C166" s="2" t="str">
        <f>VLOOKUP('БАЗА (1)'!B166,'Справочник (2-3)'!$A$3:$B$9,2,FALSE)</f>
        <v>Омск</v>
      </c>
      <c r="D166" s="40">
        <v>43052</v>
      </c>
      <c r="E166" s="2">
        <v>70</v>
      </c>
      <c r="F166" s="9">
        <v>31235</v>
      </c>
      <c r="G166" s="9">
        <f t="shared" si="4"/>
        <v>2186450</v>
      </c>
      <c r="H166" s="2" t="str" cm="1">
        <f t="array" ref="H166">_xlfn.IFS('БАЗА (1)'!G166&gt;10000000,'Справочник (2-3)'!$G$5,AND('БАЗА (1)'!G166&lt;=10000000,'БАЗА (1)'!G166&gt;=5000000),'Справочник (2-3)'!$G$4,'БАЗА (1)'!G166&lt;5000000,'Справочник (2-3)'!$G$3)</f>
        <v>C</v>
      </c>
      <c r="I166" s="2" t="s">
        <v>94</v>
      </c>
      <c r="J166" s="2" t="str">
        <f t="shared" si="5"/>
        <v>Петрушкевич О. В.</v>
      </c>
      <c r="K166" s="44">
        <v>43052</v>
      </c>
    </row>
    <row r="167" spans="1:11" x14ac:dyDescent="0.25">
      <c r="A167" s="43">
        <v>165</v>
      </c>
      <c r="B167" s="3">
        <v>4</v>
      </c>
      <c r="C167" s="2" t="str">
        <f>VLOOKUP('БАЗА (1)'!B167,'Справочник (2-3)'!$A$3:$B$9,2,FALSE)</f>
        <v>Казань</v>
      </c>
      <c r="D167" s="40">
        <v>41559</v>
      </c>
      <c r="E167" s="2">
        <v>107</v>
      </c>
      <c r="F167" s="9">
        <v>35378</v>
      </c>
      <c r="G167" s="9">
        <f t="shared" si="4"/>
        <v>3785446</v>
      </c>
      <c r="H167" s="2" t="str" cm="1">
        <f t="array" ref="H167">_xlfn.IFS('БАЗА (1)'!G167&gt;10000000,'Справочник (2-3)'!$G$5,AND('БАЗА (1)'!G167&lt;=10000000,'БАЗА (1)'!G167&gt;=5000000),'Справочник (2-3)'!$G$4,'БАЗА (1)'!G167&lt;5000000,'Справочник (2-3)'!$G$3)</f>
        <v>C</v>
      </c>
      <c r="I167" s="2" t="s">
        <v>78</v>
      </c>
      <c r="J167" s="2" t="str">
        <f t="shared" si="5"/>
        <v>Лукашенко А. С.</v>
      </c>
      <c r="K167" s="44">
        <v>41559</v>
      </c>
    </row>
    <row r="168" spans="1:11" x14ac:dyDescent="0.25">
      <c r="A168" s="43">
        <v>166</v>
      </c>
      <c r="B168" s="3">
        <v>5</v>
      </c>
      <c r="C168" s="2" t="str">
        <f>VLOOKUP('БАЗА (1)'!B168,'Справочник (2-3)'!$A$3:$B$9,2,FALSE)</f>
        <v>Омск</v>
      </c>
      <c r="D168" s="40">
        <v>43033</v>
      </c>
      <c r="E168" s="2">
        <v>82</v>
      </c>
      <c r="F168" s="9">
        <v>42267</v>
      </c>
      <c r="G168" s="9">
        <f t="shared" si="4"/>
        <v>3465894</v>
      </c>
      <c r="H168" s="2" t="str" cm="1">
        <f t="array" ref="H168">_xlfn.IFS('БАЗА (1)'!G168&gt;10000000,'Справочник (2-3)'!$G$5,AND('БАЗА (1)'!G168&lt;=10000000,'БАЗА (1)'!G168&gt;=5000000),'Справочник (2-3)'!$G$4,'БАЗА (1)'!G168&lt;5000000,'Справочник (2-3)'!$G$3)</f>
        <v>C</v>
      </c>
      <c r="I168" s="2" t="s">
        <v>92</v>
      </c>
      <c r="J168" s="2" t="str">
        <f t="shared" si="5"/>
        <v>Патрушева В. В.</v>
      </c>
      <c r="K168" s="44">
        <v>43033</v>
      </c>
    </row>
    <row r="169" spans="1:11" x14ac:dyDescent="0.25">
      <c r="A169" s="43">
        <v>167</v>
      </c>
      <c r="B169" s="3">
        <v>2</v>
      </c>
      <c r="C169" s="2" t="str">
        <f>VLOOKUP('БАЗА (1)'!B169,'Справочник (2-3)'!$A$3:$B$9,2,FALSE)</f>
        <v>Санкт-Петербург</v>
      </c>
      <c r="D169" s="40">
        <v>43050</v>
      </c>
      <c r="E169" s="2">
        <v>106</v>
      </c>
      <c r="F169" s="9">
        <v>24885</v>
      </c>
      <c r="G169" s="9">
        <f t="shared" si="4"/>
        <v>2637810</v>
      </c>
      <c r="H169" s="2" t="str" cm="1">
        <f t="array" ref="H169">_xlfn.IFS('БАЗА (1)'!G169&gt;10000000,'Справочник (2-3)'!$G$5,AND('БАЗА (1)'!G169&lt;=10000000,'БАЗА (1)'!G169&gt;=5000000),'Справочник (2-3)'!$G$4,'БАЗА (1)'!G169&lt;5000000,'Справочник (2-3)'!$G$3)</f>
        <v>C</v>
      </c>
      <c r="I169" s="2" t="s">
        <v>94</v>
      </c>
      <c r="J169" s="2" t="str">
        <f t="shared" si="5"/>
        <v>Петрушкевич О. В.</v>
      </c>
      <c r="K169" s="44">
        <v>43050</v>
      </c>
    </row>
    <row r="170" spans="1:11" x14ac:dyDescent="0.25">
      <c r="A170" s="43">
        <v>168</v>
      </c>
      <c r="B170" s="3">
        <v>6</v>
      </c>
      <c r="C170" s="2" t="str">
        <f>VLOOKUP('БАЗА (1)'!B170,'Справочник (2-3)'!$A$3:$B$9,2,FALSE)</f>
        <v>Харьков</v>
      </c>
      <c r="D170" s="40">
        <v>42728</v>
      </c>
      <c r="E170" s="2">
        <v>153</v>
      </c>
      <c r="F170" s="9">
        <v>64531</v>
      </c>
      <c r="G170" s="9">
        <f t="shared" si="4"/>
        <v>9873243</v>
      </c>
      <c r="H170" s="2" t="str" cm="1">
        <f t="array" ref="H170">_xlfn.IFS('БАЗА (1)'!G170&gt;10000000,'Справочник (2-3)'!$G$5,AND('БАЗА (1)'!G170&lt;=10000000,'БАЗА (1)'!G170&gt;=5000000),'Справочник (2-3)'!$G$4,'БАЗА (1)'!G170&lt;5000000,'Справочник (2-3)'!$G$3)</f>
        <v>B</v>
      </c>
      <c r="I170" s="2" t="s">
        <v>72</v>
      </c>
      <c r="J170" s="2" t="str">
        <f t="shared" si="5"/>
        <v>Коновалов П. И.</v>
      </c>
      <c r="K170" s="44">
        <v>42728</v>
      </c>
    </row>
    <row r="171" spans="1:11" x14ac:dyDescent="0.25">
      <c r="A171" s="43">
        <v>169</v>
      </c>
      <c r="B171" s="3">
        <v>7</v>
      </c>
      <c r="C171" s="2" t="str">
        <f>VLOOKUP('БАЗА (1)'!B171,'Справочник (2-3)'!$A$3:$B$9,2,FALSE)</f>
        <v>Йошкар-Ола</v>
      </c>
      <c r="D171" s="40">
        <v>42724</v>
      </c>
      <c r="E171" s="2">
        <v>31</v>
      </c>
      <c r="F171" s="9">
        <v>4239</v>
      </c>
      <c r="G171" s="9">
        <f t="shared" si="4"/>
        <v>131409</v>
      </c>
      <c r="H171" s="2" t="str" cm="1">
        <f t="array" ref="H171">_xlfn.IFS('БАЗА (1)'!G171&gt;10000000,'Справочник (2-3)'!$G$5,AND('БАЗА (1)'!G171&lt;=10000000,'БАЗА (1)'!G171&gt;=5000000),'Справочник (2-3)'!$G$4,'БАЗА (1)'!G171&lt;5000000,'Справочник (2-3)'!$G$3)</f>
        <v>C</v>
      </c>
      <c r="I171" s="2" t="s">
        <v>67</v>
      </c>
      <c r="J171" s="2" t="str">
        <f t="shared" si="5"/>
        <v>Исцелемова С. А.</v>
      </c>
      <c r="K171" s="44">
        <v>42724</v>
      </c>
    </row>
    <row r="172" spans="1:11" x14ac:dyDescent="0.25">
      <c r="A172" s="43">
        <v>170</v>
      </c>
      <c r="B172" s="3">
        <v>6</v>
      </c>
      <c r="C172" s="2" t="str">
        <f>VLOOKUP('БАЗА (1)'!B172,'Справочник (2-3)'!$A$3:$B$9,2,FALSE)</f>
        <v>Харьков</v>
      </c>
      <c r="D172" s="40">
        <v>41971</v>
      </c>
      <c r="E172" s="2">
        <v>90</v>
      </c>
      <c r="F172" s="9">
        <v>94350</v>
      </c>
      <c r="G172" s="9">
        <f t="shared" si="4"/>
        <v>8491500</v>
      </c>
      <c r="H172" s="2" t="str" cm="1">
        <f t="array" ref="H172">_xlfn.IFS('БАЗА (1)'!G172&gt;10000000,'Справочник (2-3)'!$G$5,AND('БАЗА (1)'!G172&lt;=10000000,'БАЗА (1)'!G172&gt;=5000000),'Справочник (2-3)'!$G$4,'БАЗА (1)'!G172&lt;5000000,'Справочник (2-3)'!$G$3)</f>
        <v>B</v>
      </c>
      <c r="I172" s="2" t="s">
        <v>80</v>
      </c>
      <c r="J172" s="2" t="str">
        <f t="shared" si="5"/>
        <v>Макарова Н. Я.</v>
      </c>
      <c r="K172" s="44">
        <v>41971</v>
      </c>
    </row>
    <row r="173" spans="1:11" x14ac:dyDescent="0.25">
      <c r="A173" s="43">
        <v>171</v>
      </c>
      <c r="B173" s="3">
        <v>5</v>
      </c>
      <c r="C173" s="2" t="str">
        <f>VLOOKUP('БАЗА (1)'!B173,'Справочник (2-3)'!$A$3:$B$9,2,FALSE)</f>
        <v>Омск</v>
      </c>
      <c r="D173" s="40">
        <v>43023</v>
      </c>
      <c r="E173" s="2">
        <v>130</v>
      </c>
      <c r="F173" s="9">
        <v>2386</v>
      </c>
      <c r="G173" s="9">
        <f t="shared" si="4"/>
        <v>310180</v>
      </c>
      <c r="H173" s="2" t="str" cm="1">
        <f t="array" ref="H173">_xlfn.IFS('БАЗА (1)'!G173&gt;10000000,'Справочник (2-3)'!$G$5,AND('БАЗА (1)'!G173&lt;=10000000,'БАЗА (1)'!G173&gt;=5000000),'Справочник (2-3)'!$G$4,'БАЗА (1)'!G173&lt;5000000,'Справочник (2-3)'!$G$3)</f>
        <v>C</v>
      </c>
      <c r="I173" s="2" t="s">
        <v>65</v>
      </c>
      <c r="J173" s="2" t="str">
        <f t="shared" si="5"/>
        <v>Иванова Л. Н.</v>
      </c>
      <c r="K173" s="44">
        <v>43023</v>
      </c>
    </row>
    <row r="174" spans="1:11" x14ac:dyDescent="0.25">
      <c r="A174" s="43">
        <v>172</v>
      </c>
      <c r="B174" s="3">
        <v>4</v>
      </c>
      <c r="C174" s="2" t="str">
        <f>VLOOKUP('БАЗА (1)'!B174,'Справочник (2-3)'!$A$3:$B$9,2,FALSE)</f>
        <v>Казань</v>
      </c>
      <c r="D174" s="40">
        <v>42296</v>
      </c>
      <c r="E174" s="2">
        <v>32</v>
      </c>
      <c r="F174" s="9">
        <v>15511</v>
      </c>
      <c r="G174" s="9">
        <f t="shared" si="4"/>
        <v>496352</v>
      </c>
      <c r="H174" s="2" t="str" cm="1">
        <f t="array" ref="H174">_xlfn.IFS('БАЗА (1)'!G174&gt;10000000,'Справочник (2-3)'!$G$5,AND('БАЗА (1)'!G174&lt;=10000000,'БАЗА (1)'!G174&gt;=5000000),'Справочник (2-3)'!$G$4,'БАЗА (1)'!G174&lt;5000000,'Справочник (2-3)'!$G$3)</f>
        <v>C</v>
      </c>
      <c r="I174" s="2" t="s">
        <v>73</v>
      </c>
      <c r="J174" s="2" t="str">
        <f t="shared" si="5"/>
        <v>Королев А. М.</v>
      </c>
      <c r="K174" s="44">
        <v>42296</v>
      </c>
    </row>
    <row r="175" spans="1:11" x14ac:dyDescent="0.25">
      <c r="A175" s="43">
        <v>173</v>
      </c>
      <c r="B175" s="3">
        <v>1</v>
      </c>
      <c r="C175" s="2" t="str">
        <f>VLOOKUP('БАЗА (1)'!B175,'Справочник (2-3)'!$A$3:$B$9,2,FALSE)</f>
        <v>Москва</v>
      </c>
      <c r="D175" s="40">
        <v>42360</v>
      </c>
      <c r="E175" s="2">
        <v>180</v>
      </c>
      <c r="F175" s="9">
        <v>47678</v>
      </c>
      <c r="G175" s="9">
        <f t="shared" si="4"/>
        <v>8582040</v>
      </c>
      <c r="H175" s="2" t="str" cm="1">
        <f t="array" ref="H175">_xlfn.IFS('БАЗА (1)'!G175&gt;10000000,'Справочник (2-3)'!$G$5,AND('БАЗА (1)'!G175&lt;=10000000,'БАЗА (1)'!G175&gt;=5000000),'Справочник (2-3)'!$G$4,'БАЗА (1)'!G175&lt;5000000,'Справочник (2-3)'!$G$3)</f>
        <v>B</v>
      </c>
      <c r="I175" s="2" t="s">
        <v>63</v>
      </c>
      <c r="J175" s="2" t="str">
        <f t="shared" si="5"/>
        <v>Зуева Е. Ю.</v>
      </c>
      <c r="K175" s="44">
        <v>42360</v>
      </c>
    </row>
    <row r="176" spans="1:11" x14ac:dyDescent="0.25">
      <c r="A176" s="43">
        <v>174</v>
      </c>
      <c r="B176" s="3">
        <v>7</v>
      </c>
      <c r="C176" s="2" t="str">
        <f>VLOOKUP('БАЗА (1)'!B176,'Справочник (2-3)'!$A$3:$B$9,2,FALSE)</f>
        <v>Йошкар-Ола</v>
      </c>
      <c r="D176" s="40">
        <v>41965</v>
      </c>
      <c r="E176" s="2">
        <v>65</v>
      </c>
      <c r="F176" s="9">
        <v>15356</v>
      </c>
      <c r="G176" s="9">
        <f t="shared" si="4"/>
        <v>998140</v>
      </c>
      <c r="H176" s="2" t="str" cm="1">
        <f t="array" ref="H176">_xlfn.IFS('БАЗА (1)'!G176&gt;10000000,'Справочник (2-3)'!$G$5,AND('БАЗА (1)'!G176&lt;=10000000,'БАЗА (1)'!G176&gt;=5000000),'Справочник (2-3)'!$G$4,'БАЗА (1)'!G176&lt;5000000,'Справочник (2-3)'!$G$3)</f>
        <v>C</v>
      </c>
      <c r="I176" s="2" t="s">
        <v>60</v>
      </c>
      <c r="J176" s="2" t="str">
        <f t="shared" si="5"/>
        <v>Дружинин А. В.</v>
      </c>
      <c r="K176" s="44">
        <v>41965</v>
      </c>
    </row>
    <row r="177" spans="1:11" x14ac:dyDescent="0.25">
      <c r="A177" s="43">
        <v>175</v>
      </c>
      <c r="B177" s="3">
        <v>2</v>
      </c>
      <c r="C177" s="2" t="str">
        <f>VLOOKUP('БАЗА (1)'!B177,'Справочник (2-3)'!$A$3:$B$9,2,FALSE)</f>
        <v>Санкт-Петербург</v>
      </c>
      <c r="D177" s="40">
        <v>41632</v>
      </c>
      <c r="E177" s="2">
        <v>179</v>
      </c>
      <c r="F177" s="9">
        <v>14130</v>
      </c>
      <c r="G177" s="9">
        <f t="shared" si="4"/>
        <v>2529270</v>
      </c>
      <c r="H177" s="2" t="str" cm="1">
        <f t="array" ref="H177">_xlfn.IFS('БАЗА (1)'!G177&gt;10000000,'Справочник (2-3)'!$G$5,AND('БАЗА (1)'!G177&lt;=10000000,'БАЗА (1)'!G177&gt;=5000000),'Справочник (2-3)'!$G$4,'БАЗА (1)'!G177&lt;5000000,'Справочник (2-3)'!$G$3)</f>
        <v>C</v>
      </c>
      <c r="I177" s="2" t="s">
        <v>89</v>
      </c>
      <c r="J177" s="2" t="str">
        <f t="shared" si="5"/>
        <v>Оносов А. Г.</v>
      </c>
      <c r="K177" s="44">
        <v>41632</v>
      </c>
    </row>
    <row r="178" spans="1:11" x14ac:dyDescent="0.25">
      <c r="A178" s="43">
        <v>176</v>
      </c>
      <c r="B178" s="3">
        <v>6</v>
      </c>
      <c r="C178" s="2" t="str">
        <f>VLOOKUP('БАЗА (1)'!B178,'Справочник (2-3)'!$A$3:$B$9,2,FALSE)</f>
        <v>Харьков</v>
      </c>
      <c r="D178" s="40">
        <v>42352</v>
      </c>
      <c r="E178" s="2">
        <v>21</v>
      </c>
      <c r="F178" s="9">
        <v>46111</v>
      </c>
      <c r="G178" s="9">
        <f t="shared" si="4"/>
        <v>968331</v>
      </c>
      <c r="H178" s="2" t="str" cm="1">
        <f t="array" ref="H178">_xlfn.IFS('БАЗА (1)'!G178&gt;10000000,'Справочник (2-3)'!$G$5,AND('БАЗА (1)'!G178&lt;=10000000,'БАЗА (1)'!G178&gt;=5000000),'Справочник (2-3)'!$G$4,'БАЗА (1)'!G178&lt;5000000,'Справочник (2-3)'!$G$3)</f>
        <v>C</v>
      </c>
      <c r="I178" s="2" t="s">
        <v>87</v>
      </c>
      <c r="J178" s="2" t="str">
        <f t="shared" si="5"/>
        <v>Олифер Е. Р.</v>
      </c>
      <c r="K178" s="44">
        <v>42352</v>
      </c>
    </row>
    <row r="179" spans="1:11" x14ac:dyDescent="0.25">
      <c r="A179" s="43">
        <v>177</v>
      </c>
      <c r="B179" s="3">
        <v>2</v>
      </c>
      <c r="C179" s="2" t="str">
        <f>VLOOKUP('БАЗА (1)'!B179,'Справочник (2-3)'!$A$3:$B$9,2,FALSE)</f>
        <v>Санкт-Петербург</v>
      </c>
      <c r="D179" s="40">
        <v>41955</v>
      </c>
      <c r="E179" s="2">
        <v>139</v>
      </c>
      <c r="F179" s="9">
        <v>52370</v>
      </c>
      <c r="G179" s="9">
        <f t="shared" si="4"/>
        <v>7279430</v>
      </c>
      <c r="H179" s="2" t="str" cm="1">
        <f t="array" ref="H179">_xlfn.IFS('БАЗА (1)'!G179&gt;10000000,'Справочник (2-3)'!$G$5,AND('БАЗА (1)'!G179&lt;=10000000,'БАЗА (1)'!G179&gt;=5000000),'Справочник (2-3)'!$G$4,'БАЗА (1)'!G179&lt;5000000,'Справочник (2-3)'!$G$3)</f>
        <v>B</v>
      </c>
      <c r="I179" s="2" t="s">
        <v>96</v>
      </c>
      <c r="J179" s="2" t="str">
        <f t="shared" si="5"/>
        <v>Подчуфарова Ж. А.</v>
      </c>
      <c r="K179" s="44">
        <v>41955</v>
      </c>
    </row>
    <row r="180" spans="1:11" x14ac:dyDescent="0.25">
      <c r="A180" s="43">
        <v>178</v>
      </c>
      <c r="B180" s="3">
        <v>2</v>
      </c>
      <c r="C180" s="2" t="str">
        <f>VLOOKUP('БАЗА (1)'!B180,'Справочник (2-3)'!$A$3:$B$9,2,FALSE)</f>
        <v>Санкт-Петербург</v>
      </c>
      <c r="D180" s="40">
        <v>43064</v>
      </c>
      <c r="E180" s="2">
        <v>121</v>
      </c>
      <c r="F180" s="9">
        <v>64322</v>
      </c>
      <c r="G180" s="9">
        <f t="shared" si="4"/>
        <v>7782962</v>
      </c>
      <c r="H180" s="2" t="str" cm="1">
        <f t="array" ref="H180">_xlfn.IFS('БАЗА (1)'!G180&gt;10000000,'Справочник (2-3)'!$G$5,AND('БАЗА (1)'!G180&lt;=10000000,'БАЗА (1)'!G180&gt;=5000000),'Справочник (2-3)'!$G$4,'БАЗА (1)'!G180&lt;5000000,'Справочник (2-3)'!$G$3)</f>
        <v>B</v>
      </c>
      <c r="I180" s="2" t="s">
        <v>92</v>
      </c>
      <c r="J180" s="2" t="str">
        <f t="shared" si="5"/>
        <v>Патрушева В. В.</v>
      </c>
      <c r="K180" s="44">
        <v>43064</v>
      </c>
    </row>
    <row r="181" spans="1:11" x14ac:dyDescent="0.25">
      <c r="A181" s="43">
        <v>179</v>
      </c>
      <c r="B181" s="3">
        <v>2</v>
      </c>
      <c r="C181" s="2" t="str">
        <f>VLOOKUP('БАЗА (1)'!B181,'Справочник (2-3)'!$A$3:$B$9,2,FALSE)</f>
        <v>Санкт-Петербург</v>
      </c>
      <c r="D181" s="40">
        <v>42687</v>
      </c>
      <c r="E181" s="2">
        <v>9</v>
      </c>
      <c r="F181" s="9">
        <v>80044</v>
      </c>
      <c r="G181" s="9">
        <f t="shared" si="4"/>
        <v>720396</v>
      </c>
      <c r="H181" s="2" t="str" cm="1">
        <f t="array" ref="H181">_xlfn.IFS('БАЗА (1)'!G181&gt;10000000,'Справочник (2-3)'!$G$5,AND('БАЗА (1)'!G181&lt;=10000000,'БАЗА (1)'!G181&gt;=5000000),'Справочник (2-3)'!$G$4,'БАЗА (1)'!G181&lt;5000000,'Справочник (2-3)'!$G$3)</f>
        <v>C</v>
      </c>
      <c r="I181" s="2" t="s">
        <v>52</v>
      </c>
      <c r="J181" s="2" t="str">
        <f t="shared" si="5"/>
        <v>Власова Л. А.</v>
      </c>
      <c r="K181" s="44">
        <v>42687</v>
      </c>
    </row>
    <row r="182" spans="1:11" x14ac:dyDescent="0.25">
      <c r="A182" s="43">
        <v>180</v>
      </c>
      <c r="B182" s="3">
        <v>6</v>
      </c>
      <c r="C182" s="2" t="str">
        <f>VLOOKUP('БАЗА (1)'!B182,'Справочник (2-3)'!$A$3:$B$9,2,FALSE)</f>
        <v>Харьков</v>
      </c>
      <c r="D182" s="40">
        <v>42350</v>
      </c>
      <c r="E182" s="2">
        <v>157</v>
      </c>
      <c r="F182" s="9">
        <v>4190</v>
      </c>
      <c r="G182" s="9">
        <f t="shared" si="4"/>
        <v>657830</v>
      </c>
      <c r="H182" s="2" t="str" cm="1">
        <f t="array" ref="H182">_xlfn.IFS('БАЗА (1)'!G182&gt;10000000,'Справочник (2-3)'!$G$5,AND('БАЗА (1)'!G182&lt;=10000000,'БАЗА (1)'!G182&gt;=5000000),'Справочник (2-3)'!$G$4,'БАЗА (1)'!G182&lt;5000000,'Справочник (2-3)'!$G$3)</f>
        <v>C</v>
      </c>
      <c r="I182" s="2" t="s">
        <v>46</v>
      </c>
      <c r="J182" s="2" t="str">
        <f t="shared" si="5"/>
        <v>Анфалова Л. Р.</v>
      </c>
      <c r="K182" s="44">
        <v>42350</v>
      </c>
    </row>
    <row r="183" spans="1:11" x14ac:dyDescent="0.25">
      <c r="A183" s="43">
        <v>181</v>
      </c>
      <c r="B183" s="3">
        <v>5</v>
      </c>
      <c r="C183" s="2" t="str">
        <f>VLOOKUP('БАЗА (1)'!B183,'Справочник (2-3)'!$A$3:$B$9,2,FALSE)</f>
        <v>Омск</v>
      </c>
      <c r="D183" s="40">
        <v>43028</v>
      </c>
      <c r="E183" s="2">
        <v>79</v>
      </c>
      <c r="F183" s="9">
        <v>15943</v>
      </c>
      <c r="G183" s="9">
        <f t="shared" si="4"/>
        <v>1259497</v>
      </c>
      <c r="H183" s="2" t="str" cm="1">
        <f t="array" ref="H183">_xlfn.IFS('БАЗА (1)'!G183&gt;10000000,'Справочник (2-3)'!$G$5,AND('БАЗА (1)'!G183&lt;=10000000,'БАЗА (1)'!G183&gt;=5000000),'Справочник (2-3)'!$G$4,'БАЗА (1)'!G183&lt;5000000,'Справочник (2-3)'!$G$3)</f>
        <v>C</v>
      </c>
      <c r="I183" s="2" t="s">
        <v>82</v>
      </c>
      <c r="J183" s="2" t="str">
        <f t="shared" si="5"/>
        <v>Меркушев А. С.</v>
      </c>
      <c r="K183" s="44">
        <v>43028</v>
      </c>
    </row>
    <row r="184" spans="1:11" x14ac:dyDescent="0.25">
      <c r="A184" s="43">
        <v>182</v>
      </c>
      <c r="B184" s="3">
        <v>1</v>
      </c>
      <c r="C184" s="2" t="str">
        <f>VLOOKUP('БАЗА (1)'!B184,'Справочник (2-3)'!$A$3:$B$9,2,FALSE)</f>
        <v>Москва</v>
      </c>
      <c r="D184" s="40">
        <v>43029</v>
      </c>
      <c r="E184" s="2">
        <v>92</v>
      </c>
      <c r="F184" s="9">
        <v>5949</v>
      </c>
      <c r="G184" s="9">
        <f t="shared" si="4"/>
        <v>547308</v>
      </c>
      <c r="H184" s="2" t="str" cm="1">
        <f t="array" ref="H184">_xlfn.IFS('БАЗА (1)'!G184&gt;10000000,'Справочник (2-3)'!$G$5,AND('БАЗА (1)'!G184&lt;=10000000,'БАЗА (1)'!G184&gt;=5000000),'Справочник (2-3)'!$G$4,'БАЗА (1)'!G184&lt;5000000,'Справочник (2-3)'!$G$3)</f>
        <v>C</v>
      </c>
      <c r="I184" s="2" t="s">
        <v>54</v>
      </c>
      <c r="J184" s="2" t="str">
        <f t="shared" si="5"/>
        <v>Голдобина А. В.</v>
      </c>
      <c r="K184" s="44">
        <v>43029</v>
      </c>
    </row>
    <row r="185" spans="1:11" x14ac:dyDescent="0.25">
      <c r="A185" s="43">
        <v>183</v>
      </c>
      <c r="B185" s="3">
        <v>2</v>
      </c>
      <c r="C185" s="2" t="str">
        <f>VLOOKUP('БАЗА (1)'!B185,'Справочник (2-3)'!$A$3:$B$9,2,FALSE)</f>
        <v>Санкт-Петербург</v>
      </c>
      <c r="D185" s="40">
        <v>42354</v>
      </c>
      <c r="E185" s="2">
        <v>98</v>
      </c>
      <c r="F185" s="9">
        <v>77268</v>
      </c>
      <c r="G185" s="9">
        <f t="shared" si="4"/>
        <v>7572264</v>
      </c>
      <c r="H185" s="2" t="str" cm="1">
        <f t="array" ref="H185">_xlfn.IFS('БАЗА (1)'!G185&gt;10000000,'Справочник (2-3)'!$G$5,AND('БАЗА (1)'!G185&lt;=10000000,'БАЗА (1)'!G185&gt;=5000000),'Справочник (2-3)'!$G$4,'БАЗА (1)'!G185&lt;5000000,'Справочник (2-3)'!$G$3)</f>
        <v>B</v>
      </c>
      <c r="I185" s="2" t="s">
        <v>70</v>
      </c>
      <c r="J185" s="2" t="str">
        <f t="shared" si="5"/>
        <v>Каячева М. В.</v>
      </c>
      <c r="K185" s="44">
        <v>42354</v>
      </c>
    </row>
    <row r="186" spans="1:11" x14ac:dyDescent="0.25">
      <c r="A186" s="43">
        <v>184</v>
      </c>
      <c r="B186" s="3">
        <v>5</v>
      </c>
      <c r="C186" s="2" t="str">
        <f>VLOOKUP('БАЗА (1)'!B186,'Справочник (2-3)'!$A$3:$B$9,2,FALSE)</f>
        <v>Омск</v>
      </c>
      <c r="D186" s="40">
        <v>41593</v>
      </c>
      <c r="E186" s="2">
        <v>90</v>
      </c>
      <c r="F186" s="9">
        <v>90797</v>
      </c>
      <c r="G186" s="9">
        <f t="shared" si="4"/>
        <v>8171730</v>
      </c>
      <c r="H186" s="2" t="str" cm="1">
        <f t="array" ref="H186">_xlfn.IFS('БАЗА (1)'!G186&gt;10000000,'Справочник (2-3)'!$G$5,AND('БАЗА (1)'!G186&lt;=10000000,'БАЗА (1)'!G186&gt;=5000000),'Справочник (2-3)'!$G$4,'БАЗА (1)'!G186&lt;5000000,'Справочник (2-3)'!$G$3)</f>
        <v>B</v>
      </c>
      <c r="I186" s="2" t="s">
        <v>93</v>
      </c>
      <c r="J186" s="2" t="str">
        <f t="shared" si="5"/>
        <v>Пермякова О. А.</v>
      </c>
      <c r="K186" s="44">
        <v>41593</v>
      </c>
    </row>
    <row r="187" spans="1:11" x14ac:dyDescent="0.25">
      <c r="A187" s="43">
        <v>185</v>
      </c>
      <c r="B187" s="3">
        <v>5</v>
      </c>
      <c r="C187" s="2" t="str">
        <f>VLOOKUP('БАЗА (1)'!B187,'Справочник (2-3)'!$A$3:$B$9,2,FALSE)</f>
        <v>Омск</v>
      </c>
      <c r="D187" s="40">
        <v>41588</v>
      </c>
      <c r="E187" s="2">
        <v>129</v>
      </c>
      <c r="F187" s="9">
        <v>20430</v>
      </c>
      <c r="G187" s="9">
        <f t="shared" si="4"/>
        <v>2635470</v>
      </c>
      <c r="H187" s="2" t="str" cm="1">
        <f t="array" ref="H187">_xlfn.IFS('БАЗА (1)'!G187&gt;10000000,'Справочник (2-3)'!$G$5,AND('БАЗА (1)'!G187&lt;=10000000,'БАЗА (1)'!G187&gt;=5000000),'Справочник (2-3)'!$G$4,'БАЗА (1)'!G187&lt;5000000,'Справочник (2-3)'!$G$3)</f>
        <v>C</v>
      </c>
      <c r="I187" s="2" t="s">
        <v>54</v>
      </c>
      <c r="J187" s="2" t="str">
        <f t="shared" si="5"/>
        <v>Голдобина А. В.</v>
      </c>
      <c r="K187" s="44">
        <v>41588</v>
      </c>
    </row>
    <row r="188" spans="1:11" x14ac:dyDescent="0.25">
      <c r="A188" s="43">
        <v>186</v>
      </c>
      <c r="B188" s="3">
        <v>4</v>
      </c>
      <c r="C188" s="2" t="str">
        <f>VLOOKUP('БАЗА (1)'!B188,'Справочник (2-3)'!$A$3:$B$9,2,FALSE)</f>
        <v>Казань</v>
      </c>
      <c r="D188" s="40">
        <v>42693</v>
      </c>
      <c r="E188" s="2">
        <v>66</v>
      </c>
      <c r="F188" s="9">
        <v>74386</v>
      </c>
      <c r="G188" s="9">
        <f t="shared" si="4"/>
        <v>4909476</v>
      </c>
      <c r="H188" s="2" t="str" cm="1">
        <f t="array" ref="H188">_xlfn.IFS('БАЗА (1)'!G188&gt;10000000,'Справочник (2-3)'!$G$5,AND('БАЗА (1)'!G188&lt;=10000000,'БАЗА (1)'!G188&gt;=5000000),'Справочник (2-3)'!$G$4,'БАЗА (1)'!G188&lt;5000000,'Справочник (2-3)'!$G$3)</f>
        <v>C</v>
      </c>
      <c r="I188" s="2" t="s">
        <v>86</v>
      </c>
      <c r="J188" s="2" t="str">
        <f t="shared" si="5"/>
        <v>Неклюдова И. И.</v>
      </c>
      <c r="K188" s="44">
        <v>42693</v>
      </c>
    </row>
    <row r="189" spans="1:11" x14ac:dyDescent="0.25">
      <c r="A189" s="43">
        <v>187</v>
      </c>
      <c r="B189" s="3">
        <v>2</v>
      </c>
      <c r="C189" s="2" t="str">
        <f>VLOOKUP('БАЗА (1)'!B189,'Справочник (2-3)'!$A$3:$B$9,2,FALSE)</f>
        <v>Санкт-Петербург</v>
      </c>
      <c r="D189" s="40">
        <v>41629</v>
      </c>
      <c r="E189" s="2">
        <v>104</v>
      </c>
      <c r="F189" s="9">
        <v>82424</v>
      </c>
      <c r="G189" s="9">
        <f t="shared" si="4"/>
        <v>8572096</v>
      </c>
      <c r="H189" s="2" t="str" cm="1">
        <f t="array" ref="H189">_xlfn.IFS('БАЗА (1)'!G189&gt;10000000,'Справочник (2-3)'!$G$5,AND('БАЗА (1)'!G189&lt;=10000000,'БАЗА (1)'!G189&gt;=5000000),'Справочник (2-3)'!$G$4,'БАЗА (1)'!G189&lt;5000000,'Справочник (2-3)'!$G$3)</f>
        <v>B</v>
      </c>
      <c r="I189" s="2" t="s">
        <v>63</v>
      </c>
      <c r="J189" s="2" t="str">
        <f t="shared" si="5"/>
        <v>Зуева Е. Ю.</v>
      </c>
      <c r="K189" s="44">
        <v>41629</v>
      </c>
    </row>
    <row r="190" spans="1:11" x14ac:dyDescent="0.25">
      <c r="A190" s="43">
        <v>188</v>
      </c>
      <c r="B190" s="3">
        <v>7</v>
      </c>
      <c r="C190" s="2" t="str">
        <f>VLOOKUP('БАЗА (1)'!B190,'Справочник (2-3)'!$A$3:$B$9,2,FALSE)</f>
        <v>Йошкар-Ола</v>
      </c>
      <c r="D190" s="40">
        <v>42291</v>
      </c>
      <c r="E190" s="2">
        <v>85</v>
      </c>
      <c r="F190" s="9">
        <v>75416</v>
      </c>
      <c r="G190" s="9">
        <f t="shared" si="4"/>
        <v>6410360</v>
      </c>
      <c r="H190" s="2" t="str" cm="1">
        <f t="array" ref="H190">_xlfn.IFS('БАЗА (1)'!G190&gt;10000000,'Справочник (2-3)'!$G$5,AND('БАЗА (1)'!G190&lt;=10000000,'БАЗА (1)'!G190&gt;=5000000),'Справочник (2-3)'!$G$4,'БАЗА (1)'!G190&lt;5000000,'Справочник (2-3)'!$G$3)</f>
        <v>B</v>
      </c>
      <c r="I190" s="2" t="s">
        <v>82</v>
      </c>
      <c r="J190" s="2" t="str">
        <f t="shared" si="5"/>
        <v>Меркушев А. С.</v>
      </c>
      <c r="K190" s="44">
        <v>42291</v>
      </c>
    </row>
    <row r="191" spans="1:11" x14ac:dyDescent="0.25">
      <c r="A191" s="43">
        <v>189</v>
      </c>
      <c r="B191" s="3">
        <v>1</v>
      </c>
      <c r="C191" s="2" t="str">
        <f>VLOOKUP('БАЗА (1)'!B191,'Справочник (2-3)'!$A$3:$B$9,2,FALSE)</f>
        <v>Москва</v>
      </c>
      <c r="D191" s="40">
        <v>42303</v>
      </c>
      <c r="E191" s="2">
        <v>198</v>
      </c>
      <c r="F191" s="9">
        <v>89116</v>
      </c>
      <c r="G191" s="9">
        <f t="shared" si="4"/>
        <v>17644968</v>
      </c>
      <c r="H191" s="2" t="str" cm="1">
        <f t="array" ref="H191">_xlfn.IFS('БАЗА (1)'!G191&gt;10000000,'Справочник (2-3)'!$G$5,AND('БАЗА (1)'!G191&lt;=10000000,'БАЗА (1)'!G191&gt;=5000000),'Справочник (2-3)'!$G$4,'БАЗА (1)'!G191&lt;5000000,'Справочник (2-3)'!$G$3)</f>
        <v>A</v>
      </c>
      <c r="I191" s="2" t="s">
        <v>96</v>
      </c>
      <c r="J191" s="2" t="str">
        <f t="shared" si="5"/>
        <v>Подчуфарова Ж. А.</v>
      </c>
      <c r="K191" s="44">
        <v>42303</v>
      </c>
    </row>
    <row r="192" spans="1:11" x14ac:dyDescent="0.25">
      <c r="A192" s="43">
        <v>190</v>
      </c>
      <c r="B192" s="3">
        <v>4</v>
      </c>
      <c r="C192" s="2" t="str">
        <f>VLOOKUP('БАЗА (1)'!B192,'Справочник (2-3)'!$A$3:$B$9,2,FALSE)</f>
        <v>Казань</v>
      </c>
      <c r="D192" s="40">
        <v>41933</v>
      </c>
      <c r="E192" s="2">
        <v>46</v>
      </c>
      <c r="F192" s="9">
        <v>5527</v>
      </c>
      <c r="G192" s="9">
        <f t="shared" si="4"/>
        <v>254242</v>
      </c>
      <c r="H192" s="2" t="str" cm="1">
        <f t="array" ref="H192">_xlfn.IFS('БАЗА (1)'!G192&gt;10000000,'Справочник (2-3)'!$G$5,AND('БАЗА (1)'!G192&lt;=10000000,'БАЗА (1)'!G192&gt;=5000000),'Справочник (2-3)'!$G$4,'БАЗА (1)'!G192&lt;5000000,'Справочник (2-3)'!$G$3)</f>
        <v>C</v>
      </c>
      <c r="I192" s="2" t="s">
        <v>69</v>
      </c>
      <c r="J192" s="2" t="str">
        <f t="shared" si="5"/>
        <v>Каскеева Е. А.</v>
      </c>
      <c r="K192" s="44">
        <v>41933</v>
      </c>
    </row>
    <row r="193" spans="1:11" x14ac:dyDescent="0.25">
      <c r="A193" s="43">
        <v>191</v>
      </c>
      <c r="B193" s="3">
        <v>2</v>
      </c>
      <c r="C193" s="2" t="str">
        <f>VLOOKUP('БАЗА (1)'!B193,'Справочник (2-3)'!$A$3:$B$9,2,FALSE)</f>
        <v>Санкт-Петербург</v>
      </c>
      <c r="D193" s="40">
        <v>42663</v>
      </c>
      <c r="E193" s="2">
        <v>47</v>
      </c>
      <c r="F193" s="9">
        <v>89028</v>
      </c>
      <c r="G193" s="9">
        <f t="shared" si="4"/>
        <v>4184316</v>
      </c>
      <c r="H193" s="2" t="str" cm="1">
        <f t="array" ref="H193">_xlfn.IFS('БАЗА (1)'!G193&gt;10000000,'Справочник (2-3)'!$G$5,AND('БАЗА (1)'!G193&lt;=10000000,'БАЗА (1)'!G193&gt;=5000000),'Справочник (2-3)'!$G$4,'БАЗА (1)'!G193&lt;5000000,'Справочник (2-3)'!$G$3)</f>
        <v>C</v>
      </c>
      <c r="I193" s="2" t="s">
        <v>93</v>
      </c>
      <c r="J193" s="2" t="str">
        <f t="shared" si="5"/>
        <v>Пермякова О. А.</v>
      </c>
      <c r="K193" s="44">
        <v>42663</v>
      </c>
    </row>
    <row r="194" spans="1:11" x14ac:dyDescent="0.25">
      <c r="A194" s="43">
        <v>192</v>
      </c>
      <c r="B194" s="3">
        <v>7</v>
      </c>
      <c r="C194" s="2" t="str">
        <f>VLOOKUP('БАЗА (1)'!B194,'Справочник (2-3)'!$A$3:$B$9,2,FALSE)</f>
        <v>Йошкар-Ола</v>
      </c>
      <c r="D194" s="40">
        <v>41618</v>
      </c>
      <c r="E194" s="2">
        <v>161</v>
      </c>
      <c r="F194" s="9">
        <v>8482</v>
      </c>
      <c r="G194" s="9">
        <f t="shared" si="4"/>
        <v>1365602</v>
      </c>
      <c r="H194" s="2" t="str" cm="1">
        <f t="array" ref="H194">_xlfn.IFS('БАЗА (1)'!G194&gt;10000000,'Справочник (2-3)'!$G$5,AND('БАЗА (1)'!G194&lt;=10000000,'БАЗА (1)'!G194&gt;=5000000),'Справочник (2-3)'!$G$4,'БАЗА (1)'!G194&lt;5000000,'Справочник (2-3)'!$G$3)</f>
        <v>C</v>
      </c>
      <c r="I194" s="2" t="s">
        <v>59</v>
      </c>
      <c r="J194" s="2" t="str">
        <f t="shared" si="5"/>
        <v>Демидова Е. Б.</v>
      </c>
      <c r="K194" s="44">
        <v>41618</v>
      </c>
    </row>
    <row r="195" spans="1:11" x14ac:dyDescent="0.25">
      <c r="A195" s="43">
        <v>193</v>
      </c>
      <c r="B195" s="3">
        <v>3</v>
      </c>
      <c r="C195" s="2" t="str">
        <f>VLOOKUP('БАЗА (1)'!B195,'Справочник (2-3)'!$A$3:$B$9,2,FALSE)</f>
        <v>Челябинск</v>
      </c>
      <c r="D195" s="40">
        <v>41989</v>
      </c>
      <c r="E195" s="2">
        <v>29</v>
      </c>
      <c r="F195" s="9">
        <v>16650</v>
      </c>
      <c r="G195" s="9">
        <f t="shared" si="4"/>
        <v>482850</v>
      </c>
      <c r="H195" s="2" t="str" cm="1">
        <f t="array" ref="H195">_xlfn.IFS('БАЗА (1)'!G195&gt;10000000,'Справочник (2-3)'!$G$5,AND('БАЗА (1)'!G195&lt;=10000000,'БАЗА (1)'!G195&gt;=5000000),'Справочник (2-3)'!$G$4,'БАЗА (1)'!G195&lt;5000000,'Справочник (2-3)'!$G$3)</f>
        <v>C</v>
      </c>
      <c r="I195" s="2" t="s">
        <v>78</v>
      </c>
      <c r="J195" s="2" t="str">
        <f t="shared" si="5"/>
        <v>Лукашенко А. С.</v>
      </c>
      <c r="K195" s="44">
        <v>41989</v>
      </c>
    </row>
    <row r="196" spans="1:11" x14ac:dyDescent="0.25">
      <c r="A196" s="43">
        <v>194</v>
      </c>
      <c r="B196" s="3">
        <v>2</v>
      </c>
      <c r="C196" s="2" t="str">
        <f>VLOOKUP('БАЗА (1)'!B196,'Справочник (2-3)'!$A$3:$B$9,2,FALSE)</f>
        <v>Санкт-Петербург</v>
      </c>
      <c r="D196" s="40">
        <v>43082</v>
      </c>
      <c r="E196" s="2">
        <v>50</v>
      </c>
      <c r="F196" s="9">
        <v>28934</v>
      </c>
      <c r="G196" s="9">
        <f t="shared" ref="G196:G259" si="6">E196*F196</f>
        <v>1446700</v>
      </c>
      <c r="H196" s="2" t="str" cm="1">
        <f t="array" ref="H196">_xlfn.IFS('БАЗА (1)'!G196&gt;10000000,'Справочник (2-3)'!$G$5,AND('БАЗА (1)'!G196&lt;=10000000,'БАЗА (1)'!G196&gt;=5000000),'Справочник (2-3)'!$G$4,'БАЗА (1)'!G196&lt;5000000,'Справочник (2-3)'!$G$3)</f>
        <v>C</v>
      </c>
      <c r="I196" s="2" t="s">
        <v>97</v>
      </c>
      <c r="J196" s="2" t="str">
        <f t="shared" ref="J196:J259" si="7">LEFT(I196,FIND(" ",I196)-1)&amp;" "&amp;LEFT(MID(I196,FIND(" ",I196)+1,LEN(I196)),1)&amp;". "&amp;LEFT(MID(I196,FIND(" ",I196,FIND(" ",I196)+1)+1,LEN(I196)),1)&amp;"."</f>
        <v>Пономарева С. В.</v>
      </c>
      <c r="K196" s="44">
        <v>43082</v>
      </c>
    </row>
    <row r="197" spans="1:11" x14ac:dyDescent="0.25">
      <c r="A197" s="43">
        <v>195</v>
      </c>
      <c r="B197" s="3">
        <v>4</v>
      </c>
      <c r="C197" s="2" t="str">
        <f>VLOOKUP('БАЗА (1)'!B197,'Справочник (2-3)'!$A$3:$B$9,2,FALSE)</f>
        <v>Казань</v>
      </c>
      <c r="D197" s="40">
        <v>41970</v>
      </c>
      <c r="E197" s="2">
        <v>39</v>
      </c>
      <c r="F197" s="9">
        <v>44740</v>
      </c>
      <c r="G197" s="9">
        <f t="shared" si="6"/>
        <v>1744860</v>
      </c>
      <c r="H197" s="2" t="str" cm="1">
        <f t="array" ref="H197">_xlfn.IFS('БАЗА (1)'!G197&gt;10000000,'Справочник (2-3)'!$G$5,AND('БАЗА (1)'!G197&lt;=10000000,'БАЗА (1)'!G197&gt;=5000000),'Справочник (2-3)'!$G$4,'БАЗА (1)'!G197&lt;5000000,'Справочник (2-3)'!$G$3)</f>
        <v>C</v>
      </c>
      <c r="I197" s="2" t="s">
        <v>98</v>
      </c>
      <c r="J197" s="2" t="str">
        <f t="shared" si="7"/>
        <v>Попова А. А.</v>
      </c>
      <c r="K197" s="44">
        <v>41970</v>
      </c>
    </row>
    <row r="198" spans="1:11" x14ac:dyDescent="0.25">
      <c r="A198" s="43">
        <v>196</v>
      </c>
      <c r="B198" s="3">
        <v>3</v>
      </c>
      <c r="C198" s="2" t="str">
        <f>VLOOKUP('БАЗА (1)'!B198,'Справочник (2-3)'!$A$3:$B$9,2,FALSE)</f>
        <v>Челябинск</v>
      </c>
      <c r="D198" s="40">
        <v>41596</v>
      </c>
      <c r="E198" s="2">
        <v>93</v>
      </c>
      <c r="F198" s="9">
        <v>27179</v>
      </c>
      <c r="G198" s="9">
        <f t="shared" si="6"/>
        <v>2527647</v>
      </c>
      <c r="H198" s="2" t="str" cm="1">
        <f t="array" ref="H198">_xlfn.IFS('БАЗА (1)'!G198&gt;10000000,'Справочник (2-3)'!$G$5,AND('БАЗА (1)'!G198&lt;=10000000,'БАЗА (1)'!G198&gt;=5000000),'Справочник (2-3)'!$G$4,'БАЗА (1)'!G198&lt;5000000,'Справочник (2-3)'!$G$3)</f>
        <v>C</v>
      </c>
      <c r="I198" s="2" t="s">
        <v>84</v>
      </c>
      <c r="J198" s="2" t="str">
        <f t="shared" si="7"/>
        <v>Минина Л. А.</v>
      </c>
      <c r="K198" s="44">
        <v>41596</v>
      </c>
    </row>
    <row r="199" spans="1:11" x14ac:dyDescent="0.25">
      <c r="A199" s="43">
        <v>197</v>
      </c>
      <c r="B199" s="3">
        <v>3</v>
      </c>
      <c r="C199" s="2" t="str">
        <f>VLOOKUP('БАЗА (1)'!B199,'Справочник (2-3)'!$A$3:$B$9,2,FALSE)</f>
        <v>Челябинск</v>
      </c>
      <c r="D199" s="40">
        <v>42653</v>
      </c>
      <c r="E199" s="2">
        <v>151</v>
      </c>
      <c r="F199" s="9">
        <v>80825</v>
      </c>
      <c r="G199" s="9">
        <f t="shared" si="6"/>
        <v>12204575</v>
      </c>
      <c r="H199" s="2" t="str" cm="1">
        <f t="array" ref="H199">_xlfn.IFS('БАЗА (1)'!G199&gt;10000000,'Справочник (2-3)'!$G$5,AND('БАЗА (1)'!G199&lt;=10000000,'БАЗА (1)'!G199&gt;=5000000),'Справочник (2-3)'!$G$4,'БАЗА (1)'!G199&lt;5000000,'Справочник (2-3)'!$G$3)</f>
        <v>A</v>
      </c>
      <c r="I199" s="2" t="s">
        <v>58</v>
      </c>
      <c r="J199" s="2" t="str">
        <f t="shared" si="7"/>
        <v>Давыдова Т. К.</v>
      </c>
      <c r="K199" s="44">
        <v>42653</v>
      </c>
    </row>
    <row r="200" spans="1:11" x14ac:dyDescent="0.25">
      <c r="A200" s="43">
        <v>198</v>
      </c>
      <c r="B200" s="3">
        <v>6</v>
      </c>
      <c r="C200" s="2" t="str">
        <f>VLOOKUP('БАЗА (1)'!B200,'Справочник (2-3)'!$A$3:$B$9,2,FALSE)</f>
        <v>Харьков</v>
      </c>
      <c r="D200" s="40">
        <v>41964</v>
      </c>
      <c r="E200" s="2">
        <v>42</v>
      </c>
      <c r="F200" s="9">
        <v>57470</v>
      </c>
      <c r="G200" s="9">
        <f t="shared" si="6"/>
        <v>2413740</v>
      </c>
      <c r="H200" s="2" t="str" cm="1">
        <f t="array" ref="H200">_xlfn.IFS('БАЗА (1)'!G200&gt;10000000,'Справочник (2-3)'!$G$5,AND('БАЗА (1)'!G200&lt;=10000000,'БАЗА (1)'!G200&gt;=5000000),'Справочник (2-3)'!$G$4,'БАЗА (1)'!G200&lt;5000000,'Справочник (2-3)'!$G$3)</f>
        <v>C</v>
      </c>
      <c r="I200" s="2" t="s">
        <v>76</v>
      </c>
      <c r="J200" s="2" t="str">
        <f t="shared" si="7"/>
        <v>Лакеенков Д. В.</v>
      </c>
      <c r="K200" s="44">
        <v>41964</v>
      </c>
    </row>
    <row r="201" spans="1:11" x14ac:dyDescent="0.25">
      <c r="A201" s="43">
        <v>199</v>
      </c>
      <c r="B201" s="3">
        <v>1</v>
      </c>
      <c r="C201" s="2" t="str">
        <f>VLOOKUP('БАЗА (1)'!B201,'Справочник (2-3)'!$A$3:$B$9,2,FALSE)</f>
        <v>Москва</v>
      </c>
      <c r="D201" s="40">
        <v>42731</v>
      </c>
      <c r="E201" s="2">
        <v>74</v>
      </c>
      <c r="F201" s="9">
        <v>23249</v>
      </c>
      <c r="G201" s="9">
        <f t="shared" si="6"/>
        <v>1720426</v>
      </c>
      <c r="H201" s="2" t="str" cm="1">
        <f t="array" ref="H201">_xlfn.IFS('БАЗА (1)'!G201&gt;10000000,'Справочник (2-3)'!$G$5,AND('БАЗА (1)'!G201&lt;=10000000,'БАЗА (1)'!G201&gt;=5000000),'Справочник (2-3)'!$G$4,'БАЗА (1)'!G201&lt;5000000,'Справочник (2-3)'!$G$3)</f>
        <v>C</v>
      </c>
      <c r="I201" s="2" t="s">
        <v>88</v>
      </c>
      <c r="J201" s="2" t="str">
        <f t="shared" si="7"/>
        <v>Ользатиева Л. Г.</v>
      </c>
      <c r="K201" s="44">
        <v>42731</v>
      </c>
    </row>
    <row r="202" spans="1:11" x14ac:dyDescent="0.25">
      <c r="A202" s="43">
        <v>200</v>
      </c>
      <c r="B202" s="3">
        <v>7</v>
      </c>
      <c r="C202" s="2" t="str">
        <f>VLOOKUP('БАЗА (1)'!B202,'Справочник (2-3)'!$A$3:$B$9,2,FALSE)</f>
        <v>Йошкар-Ола</v>
      </c>
      <c r="D202" s="40">
        <v>41621</v>
      </c>
      <c r="E202" s="2">
        <v>2</v>
      </c>
      <c r="F202" s="9">
        <v>10849</v>
      </c>
      <c r="G202" s="9">
        <f t="shared" si="6"/>
        <v>21698</v>
      </c>
      <c r="H202" s="2" t="str" cm="1">
        <f t="array" ref="H202">_xlfn.IFS('БАЗА (1)'!G202&gt;10000000,'Справочник (2-3)'!$G$5,AND('БАЗА (1)'!G202&lt;=10000000,'БАЗА (1)'!G202&gt;=5000000),'Справочник (2-3)'!$G$4,'БАЗА (1)'!G202&lt;5000000,'Справочник (2-3)'!$G$3)</f>
        <v>C</v>
      </c>
      <c r="I202" s="2" t="s">
        <v>54</v>
      </c>
      <c r="J202" s="2" t="str">
        <f t="shared" si="7"/>
        <v>Голдобина А. В.</v>
      </c>
      <c r="K202" s="44">
        <v>41621</v>
      </c>
    </row>
    <row r="203" spans="1:11" x14ac:dyDescent="0.25">
      <c r="A203" s="43">
        <v>201</v>
      </c>
      <c r="B203" s="3">
        <v>7</v>
      </c>
      <c r="C203" s="2" t="str">
        <f>VLOOKUP('БАЗА (1)'!B203,'Справочник (2-3)'!$A$3:$B$9,2,FALSE)</f>
        <v>Йошкар-Ола</v>
      </c>
      <c r="D203" s="40">
        <v>43064</v>
      </c>
      <c r="E203" s="2">
        <v>113</v>
      </c>
      <c r="F203" s="9">
        <v>32660</v>
      </c>
      <c r="G203" s="9">
        <f t="shared" si="6"/>
        <v>3690580</v>
      </c>
      <c r="H203" s="2" t="str" cm="1">
        <f t="array" ref="H203">_xlfn.IFS('БАЗА (1)'!G203&gt;10000000,'Справочник (2-3)'!$G$5,AND('БАЗА (1)'!G203&lt;=10000000,'БАЗА (1)'!G203&gt;=5000000),'Справочник (2-3)'!$G$4,'БАЗА (1)'!G203&lt;5000000,'Справочник (2-3)'!$G$3)</f>
        <v>C</v>
      </c>
      <c r="I203" s="2" t="s">
        <v>55</v>
      </c>
      <c r="J203" s="2" t="str">
        <f t="shared" si="7"/>
        <v>Гордеева А. П.</v>
      </c>
      <c r="K203" s="44">
        <v>43064</v>
      </c>
    </row>
    <row r="204" spans="1:11" x14ac:dyDescent="0.25">
      <c r="A204" s="43">
        <v>202</v>
      </c>
      <c r="B204" s="3">
        <v>6</v>
      </c>
      <c r="C204" s="2" t="str">
        <f>VLOOKUP('БАЗА (1)'!B204,'Справочник (2-3)'!$A$3:$B$9,2,FALSE)</f>
        <v>Харьков</v>
      </c>
      <c r="D204" s="40">
        <v>42727</v>
      </c>
      <c r="E204" s="2">
        <v>138</v>
      </c>
      <c r="F204" s="9">
        <v>33053</v>
      </c>
      <c r="G204" s="9">
        <f t="shared" si="6"/>
        <v>4561314</v>
      </c>
      <c r="H204" s="2" t="str" cm="1">
        <f t="array" ref="H204">_xlfn.IFS('БАЗА (1)'!G204&gt;10000000,'Справочник (2-3)'!$G$5,AND('БАЗА (1)'!G204&lt;=10000000,'БАЗА (1)'!G204&gt;=5000000),'Справочник (2-3)'!$G$4,'БАЗА (1)'!G204&lt;5000000,'Справочник (2-3)'!$G$3)</f>
        <v>C</v>
      </c>
      <c r="I204" s="2" t="s">
        <v>74</v>
      </c>
      <c r="J204" s="2" t="str">
        <f t="shared" si="7"/>
        <v>Косикова Е. А.</v>
      </c>
      <c r="K204" s="44">
        <v>42727</v>
      </c>
    </row>
    <row r="205" spans="1:11" x14ac:dyDescent="0.25">
      <c r="A205" s="43">
        <v>203</v>
      </c>
      <c r="B205" s="3">
        <v>4</v>
      </c>
      <c r="C205" s="2" t="str">
        <f>VLOOKUP('БАЗА (1)'!B205,'Справочник (2-3)'!$A$3:$B$9,2,FALSE)</f>
        <v>Казань</v>
      </c>
      <c r="D205" s="40">
        <v>41933</v>
      </c>
      <c r="E205" s="2">
        <v>195</v>
      </c>
      <c r="F205" s="9">
        <v>74244</v>
      </c>
      <c r="G205" s="9">
        <f t="shared" si="6"/>
        <v>14477580</v>
      </c>
      <c r="H205" s="2" t="str" cm="1">
        <f t="array" ref="H205">_xlfn.IFS('БАЗА (1)'!G205&gt;10000000,'Справочник (2-3)'!$G$5,AND('БАЗА (1)'!G205&lt;=10000000,'БАЗА (1)'!G205&gt;=5000000),'Справочник (2-3)'!$G$4,'БАЗА (1)'!G205&lt;5000000,'Справочник (2-3)'!$G$3)</f>
        <v>A</v>
      </c>
      <c r="I205" s="2" t="s">
        <v>62</v>
      </c>
      <c r="J205" s="2" t="str">
        <f t="shared" si="7"/>
        <v>Зубова И. М.</v>
      </c>
      <c r="K205" s="44">
        <v>41933</v>
      </c>
    </row>
    <row r="206" spans="1:11" x14ac:dyDescent="0.25">
      <c r="A206" s="43">
        <v>204</v>
      </c>
      <c r="B206" s="3">
        <v>4</v>
      </c>
      <c r="C206" s="2" t="str">
        <f>VLOOKUP('БАЗА (1)'!B206,'Справочник (2-3)'!$A$3:$B$9,2,FALSE)</f>
        <v>Казань</v>
      </c>
      <c r="D206" s="40">
        <v>43097</v>
      </c>
      <c r="E206" s="2">
        <v>124</v>
      </c>
      <c r="F206" s="9">
        <v>19466</v>
      </c>
      <c r="G206" s="9">
        <f t="shared" si="6"/>
        <v>2413784</v>
      </c>
      <c r="H206" s="2" t="str" cm="1">
        <f t="array" ref="H206">_xlfn.IFS('БАЗА (1)'!G206&gt;10000000,'Справочник (2-3)'!$G$5,AND('БАЗА (1)'!G206&lt;=10000000,'БАЗА (1)'!G206&gt;=5000000),'Справочник (2-3)'!$G$4,'БАЗА (1)'!G206&lt;5000000,'Справочник (2-3)'!$G$3)</f>
        <v>C</v>
      </c>
      <c r="I206" s="2" t="s">
        <v>89</v>
      </c>
      <c r="J206" s="2" t="str">
        <f t="shared" si="7"/>
        <v>Оносов А. Г.</v>
      </c>
      <c r="K206" s="44">
        <v>43097</v>
      </c>
    </row>
    <row r="207" spans="1:11" x14ac:dyDescent="0.25">
      <c r="A207" s="43">
        <v>205</v>
      </c>
      <c r="B207" s="3">
        <v>5</v>
      </c>
      <c r="C207" s="2" t="str">
        <f>VLOOKUP('БАЗА (1)'!B207,'Справочник (2-3)'!$A$3:$B$9,2,FALSE)</f>
        <v>Омск</v>
      </c>
      <c r="D207" s="40">
        <v>42700</v>
      </c>
      <c r="E207" s="2">
        <v>37</v>
      </c>
      <c r="F207" s="9">
        <v>15951</v>
      </c>
      <c r="G207" s="9">
        <f t="shared" si="6"/>
        <v>590187</v>
      </c>
      <c r="H207" s="2" t="str" cm="1">
        <f t="array" ref="H207">_xlfn.IFS('БАЗА (1)'!G207&gt;10000000,'Справочник (2-3)'!$G$5,AND('БАЗА (1)'!G207&lt;=10000000,'БАЗА (1)'!G207&gt;=5000000),'Справочник (2-3)'!$G$4,'БАЗА (1)'!G207&lt;5000000,'Справочник (2-3)'!$G$3)</f>
        <v>C</v>
      </c>
      <c r="I207" s="2" t="s">
        <v>93</v>
      </c>
      <c r="J207" s="2" t="str">
        <f t="shared" si="7"/>
        <v>Пермякова О. А.</v>
      </c>
      <c r="K207" s="44">
        <v>42700</v>
      </c>
    </row>
    <row r="208" spans="1:11" x14ac:dyDescent="0.25">
      <c r="A208" s="43">
        <v>206</v>
      </c>
      <c r="B208" s="3">
        <v>4</v>
      </c>
      <c r="C208" s="2" t="str">
        <f>VLOOKUP('БАЗА (1)'!B208,'Справочник (2-3)'!$A$3:$B$9,2,FALSE)</f>
        <v>Казань</v>
      </c>
      <c r="D208" s="40">
        <v>41565</v>
      </c>
      <c r="E208" s="2">
        <v>22</v>
      </c>
      <c r="F208" s="9">
        <v>23679</v>
      </c>
      <c r="G208" s="9">
        <f t="shared" si="6"/>
        <v>520938</v>
      </c>
      <c r="H208" s="2" t="str" cm="1">
        <f t="array" ref="H208">_xlfn.IFS('БАЗА (1)'!G208&gt;10000000,'Справочник (2-3)'!$G$5,AND('БАЗА (1)'!G208&lt;=10000000,'БАЗА (1)'!G208&gt;=5000000),'Справочник (2-3)'!$G$4,'БАЗА (1)'!G208&lt;5000000,'Справочник (2-3)'!$G$3)</f>
        <v>C</v>
      </c>
      <c r="I208" s="2" t="s">
        <v>70</v>
      </c>
      <c r="J208" s="2" t="str">
        <f t="shared" si="7"/>
        <v>Каячева М. В.</v>
      </c>
      <c r="K208" s="44">
        <v>41565</v>
      </c>
    </row>
    <row r="209" spans="1:11" x14ac:dyDescent="0.25">
      <c r="A209" s="43">
        <v>207</v>
      </c>
      <c r="B209" s="3">
        <v>4</v>
      </c>
      <c r="C209" s="2" t="str">
        <f>VLOOKUP('БАЗА (1)'!B209,'Справочник (2-3)'!$A$3:$B$9,2,FALSE)</f>
        <v>Казань</v>
      </c>
      <c r="D209" s="40">
        <v>42358</v>
      </c>
      <c r="E209" s="2">
        <v>174</v>
      </c>
      <c r="F209" s="9">
        <v>80541</v>
      </c>
      <c r="G209" s="9">
        <f t="shared" si="6"/>
        <v>14014134</v>
      </c>
      <c r="H209" s="2" t="str" cm="1">
        <f t="array" ref="H209">_xlfn.IFS('БАЗА (1)'!G209&gt;10000000,'Справочник (2-3)'!$G$5,AND('БАЗА (1)'!G209&lt;=10000000,'БАЗА (1)'!G209&gt;=5000000),'Справочник (2-3)'!$G$4,'БАЗА (1)'!G209&lt;5000000,'Справочник (2-3)'!$G$3)</f>
        <v>A</v>
      </c>
      <c r="I209" s="2" t="s">
        <v>56</v>
      </c>
      <c r="J209" s="2" t="str">
        <f t="shared" si="7"/>
        <v>Гребенева Т. В.</v>
      </c>
      <c r="K209" s="44">
        <v>42358</v>
      </c>
    </row>
    <row r="210" spans="1:11" x14ac:dyDescent="0.25">
      <c r="A210" s="43">
        <v>208</v>
      </c>
      <c r="B210" s="3">
        <v>4</v>
      </c>
      <c r="C210" s="2" t="str">
        <f>VLOOKUP('БАЗА (1)'!B210,'Справочник (2-3)'!$A$3:$B$9,2,FALSE)</f>
        <v>Казань</v>
      </c>
      <c r="D210" s="40">
        <v>41570</v>
      </c>
      <c r="E210" s="2">
        <v>182</v>
      </c>
      <c r="F210" s="9">
        <v>20887</v>
      </c>
      <c r="G210" s="9">
        <f t="shared" si="6"/>
        <v>3801434</v>
      </c>
      <c r="H210" s="2" t="str" cm="1">
        <f t="array" ref="H210">_xlfn.IFS('БАЗА (1)'!G210&gt;10000000,'Справочник (2-3)'!$G$5,AND('БАЗА (1)'!G210&lt;=10000000,'БАЗА (1)'!G210&gt;=5000000),'Справочник (2-3)'!$G$4,'БАЗА (1)'!G210&lt;5000000,'Справочник (2-3)'!$G$3)</f>
        <v>C</v>
      </c>
      <c r="I210" s="2" t="s">
        <v>74</v>
      </c>
      <c r="J210" s="2" t="str">
        <f t="shared" si="7"/>
        <v>Косикова Е. А.</v>
      </c>
      <c r="K210" s="44">
        <v>41570</v>
      </c>
    </row>
    <row r="211" spans="1:11" x14ac:dyDescent="0.25">
      <c r="A211" s="43">
        <v>209</v>
      </c>
      <c r="B211" s="3">
        <v>1</v>
      </c>
      <c r="C211" s="2" t="str">
        <f>VLOOKUP('БАЗА (1)'!B211,'Справочник (2-3)'!$A$3:$B$9,2,FALSE)</f>
        <v>Москва</v>
      </c>
      <c r="D211" s="40">
        <v>41957</v>
      </c>
      <c r="E211" s="2">
        <v>100</v>
      </c>
      <c r="F211" s="9">
        <v>5728</v>
      </c>
      <c r="G211" s="9">
        <f t="shared" si="6"/>
        <v>572800</v>
      </c>
      <c r="H211" s="2" t="str" cm="1">
        <f t="array" ref="H211">_xlfn.IFS('БАЗА (1)'!G211&gt;10000000,'Справочник (2-3)'!$G$5,AND('БАЗА (1)'!G211&lt;=10000000,'БАЗА (1)'!G211&gt;=5000000),'Справочник (2-3)'!$G$4,'БАЗА (1)'!G211&lt;5000000,'Справочник (2-3)'!$G$3)</f>
        <v>C</v>
      </c>
      <c r="I211" s="2" t="s">
        <v>91</v>
      </c>
      <c r="J211" s="2" t="str">
        <f t="shared" si="7"/>
        <v>Паршакова Т. Л.</v>
      </c>
      <c r="K211" s="44">
        <v>41957</v>
      </c>
    </row>
    <row r="212" spans="1:11" x14ac:dyDescent="0.25">
      <c r="A212" s="43">
        <v>210</v>
      </c>
      <c r="B212" s="3">
        <v>5</v>
      </c>
      <c r="C212" s="2" t="str">
        <f>VLOOKUP('БАЗА (1)'!B212,'Справочник (2-3)'!$A$3:$B$9,2,FALSE)</f>
        <v>Омск</v>
      </c>
      <c r="D212" s="40">
        <v>42357</v>
      </c>
      <c r="E212" s="2">
        <v>46</v>
      </c>
      <c r="F212" s="9">
        <v>3450</v>
      </c>
      <c r="G212" s="9">
        <f t="shared" si="6"/>
        <v>158700</v>
      </c>
      <c r="H212" s="2" t="str" cm="1">
        <f t="array" ref="H212">_xlfn.IFS('БАЗА (1)'!G212&gt;10000000,'Справочник (2-3)'!$G$5,AND('БАЗА (1)'!G212&lt;=10000000,'БАЗА (1)'!G212&gt;=5000000),'Справочник (2-3)'!$G$4,'БАЗА (1)'!G212&lt;5000000,'Справочник (2-3)'!$G$3)</f>
        <v>C</v>
      </c>
      <c r="I212" s="2" t="s">
        <v>49</v>
      </c>
      <c r="J212" s="2" t="str">
        <f t="shared" si="7"/>
        <v>Барсукова Ф. А.</v>
      </c>
      <c r="K212" s="44">
        <v>42357</v>
      </c>
    </row>
    <row r="213" spans="1:11" x14ac:dyDescent="0.25">
      <c r="A213" s="43">
        <v>211</v>
      </c>
      <c r="B213" s="3">
        <v>4</v>
      </c>
      <c r="C213" s="2" t="str">
        <f>VLOOKUP('БАЗА (1)'!B213,'Справочник (2-3)'!$A$3:$B$9,2,FALSE)</f>
        <v>Казань</v>
      </c>
      <c r="D213" s="40">
        <v>42303</v>
      </c>
      <c r="E213" s="2">
        <v>110</v>
      </c>
      <c r="F213" s="9">
        <v>59025</v>
      </c>
      <c r="G213" s="9">
        <f t="shared" si="6"/>
        <v>6492750</v>
      </c>
      <c r="H213" s="2" t="str" cm="1">
        <f t="array" ref="H213">_xlfn.IFS('БАЗА (1)'!G213&gt;10000000,'Справочник (2-3)'!$G$5,AND('БАЗА (1)'!G213&lt;=10000000,'БАЗА (1)'!G213&gt;=5000000),'Справочник (2-3)'!$G$4,'БАЗА (1)'!G213&lt;5000000,'Справочник (2-3)'!$G$3)</f>
        <v>B</v>
      </c>
      <c r="I213" s="2" t="s">
        <v>90</v>
      </c>
      <c r="J213" s="2" t="str">
        <f t="shared" si="7"/>
        <v>Павлова Н. И.</v>
      </c>
      <c r="K213" s="44">
        <v>42303</v>
      </c>
    </row>
    <row r="214" spans="1:11" x14ac:dyDescent="0.25">
      <c r="A214" s="43">
        <v>212</v>
      </c>
      <c r="B214" s="3">
        <v>3</v>
      </c>
      <c r="C214" s="2" t="str">
        <f>VLOOKUP('БАЗА (1)'!B214,'Справочник (2-3)'!$A$3:$B$9,2,FALSE)</f>
        <v>Челябинск</v>
      </c>
      <c r="D214" s="40">
        <v>42687</v>
      </c>
      <c r="E214" s="2">
        <v>153</v>
      </c>
      <c r="F214" s="9">
        <v>14768</v>
      </c>
      <c r="G214" s="9">
        <f t="shared" si="6"/>
        <v>2259504</v>
      </c>
      <c r="H214" s="2" t="str" cm="1">
        <f t="array" ref="H214">_xlfn.IFS('БАЗА (1)'!G214&gt;10000000,'Справочник (2-3)'!$G$5,AND('БАЗА (1)'!G214&lt;=10000000,'БАЗА (1)'!G214&gt;=5000000),'Справочник (2-3)'!$G$4,'БАЗА (1)'!G214&lt;5000000,'Справочник (2-3)'!$G$3)</f>
        <v>C</v>
      </c>
      <c r="I214" s="2" t="s">
        <v>56</v>
      </c>
      <c r="J214" s="2" t="str">
        <f t="shared" si="7"/>
        <v>Гребенева Т. В.</v>
      </c>
      <c r="K214" s="44">
        <v>42687</v>
      </c>
    </row>
    <row r="215" spans="1:11" x14ac:dyDescent="0.25">
      <c r="A215" s="43">
        <v>213</v>
      </c>
      <c r="B215" s="3">
        <v>2</v>
      </c>
      <c r="C215" s="2" t="str">
        <f>VLOOKUP('БАЗА (1)'!B215,'Справочник (2-3)'!$A$3:$B$9,2,FALSE)</f>
        <v>Санкт-Петербург</v>
      </c>
      <c r="D215" s="40">
        <v>41962</v>
      </c>
      <c r="E215" s="2">
        <v>146</v>
      </c>
      <c r="F215" s="9">
        <v>76654</v>
      </c>
      <c r="G215" s="9">
        <f t="shared" si="6"/>
        <v>11191484</v>
      </c>
      <c r="H215" s="2" t="str" cm="1">
        <f t="array" ref="H215">_xlfn.IFS('БАЗА (1)'!G215&gt;10000000,'Справочник (2-3)'!$G$5,AND('БАЗА (1)'!G215&lt;=10000000,'БАЗА (1)'!G215&gt;=5000000),'Справочник (2-3)'!$G$4,'БАЗА (1)'!G215&lt;5000000,'Справочник (2-3)'!$G$3)</f>
        <v>A</v>
      </c>
      <c r="I215" s="2" t="s">
        <v>46</v>
      </c>
      <c r="J215" s="2" t="str">
        <f t="shared" si="7"/>
        <v>Анфалова Л. Р.</v>
      </c>
      <c r="K215" s="44">
        <v>41962</v>
      </c>
    </row>
    <row r="216" spans="1:11" x14ac:dyDescent="0.25">
      <c r="A216" s="43">
        <v>214</v>
      </c>
      <c r="B216" s="3">
        <v>5</v>
      </c>
      <c r="C216" s="2" t="str">
        <f>VLOOKUP('БАЗА (1)'!B216,'Справочник (2-3)'!$A$3:$B$9,2,FALSE)</f>
        <v>Омск</v>
      </c>
      <c r="D216" s="40">
        <v>41964</v>
      </c>
      <c r="E216" s="2">
        <v>173</v>
      </c>
      <c r="F216" s="9">
        <v>33885</v>
      </c>
      <c r="G216" s="9">
        <f t="shared" si="6"/>
        <v>5862105</v>
      </c>
      <c r="H216" s="2" t="str" cm="1">
        <f t="array" ref="H216">_xlfn.IFS('БАЗА (1)'!G216&gt;10000000,'Справочник (2-3)'!$G$5,AND('БАЗА (1)'!G216&lt;=10000000,'БАЗА (1)'!G216&gt;=5000000),'Справочник (2-3)'!$G$4,'БАЗА (1)'!G216&lt;5000000,'Справочник (2-3)'!$G$3)</f>
        <v>B</v>
      </c>
      <c r="I216" s="2" t="s">
        <v>46</v>
      </c>
      <c r="J216" s="2" t="str">
        <f t="shared" si="7"/>
        <v>Анфалова Л. Р.</v>
      </c>
      <c r="K216" s="44">
        <v>41964</v>
      </c>
    </row>
    <row r="217" spans="1:11" x14ac:dyDescent="0.25">
      <c r="A217" s="43">
        <v>215</v>
      </c>
      <c r="B217" s="3">
        <v>2</v>
      </c>
      <c r="C217" s="2" t="str">
        <f>VLOOKUP('БАЗА (1)'!B217,'Справочник (2-3)'!$A$3:$B$9,2,FALSE)</f>
        <v>Санкт-Петербург</v>
      </c>
      <c r="D217" s="40">
        <v>41594</v>
      </c>
      <c r="E217" s="2">
        <v>104</v>
      </c>
      <c r="F217" s="9">
        <v>79353</v>
      </c>
      <c r="G217" s="9">
        <f t="shared" si="6"/>
        <v>8252712</v>
      </c>
      <c r="H217" s="2" t="str" cm="1">
        <f t="array" ref="H217">_xlfn.IFS('БАЗА (1)'!G217&gt;10000000,'Справочник (2-3)'!$G$5,AND('БАЗА (1)'!G217&lt;=10000000,'БАЗА (1)'!G217&gt;=5000000),'Справочник (2-3)'!$G$4,'БАЗА (1)'!G217&lt;5000000,'Справочник (2-3)'!$G$3)</f>
        <v>B</v>
      </c>
      <c r="I217" s="2" t="s">
        <v>77</v>
      </c>
      <c r="J217" s="2" t="str">
        <f t="shared" si="7"/>
        <v>Лоскутова М. В.</v>
      </c>
      <c r="K217" s="44">
        <v>41594</v>
      </c>
    </row>
    <row r="218" spans="1:11" x14ac:dyDescent="0.25">
      <c r="A218" s="43">
        <v>216</v>
      </c>
      <c r="B218" s="3">
        <v>6</v>
      </c>
      <c r="C218" s="2" t="str">
        <f>VLOOKUP('БАЗА (1)'!B218,'Справочник (2-3)'!$A$3:$B$9,2,FALSE)</f>
        <v>Харьков</v>
      </c>
      <c r="D218" s="40">
        <v>43081</v>
      </c>
      <c r="E218" s="2">
        <v>10</v>
      </c>
      <c r="F218" s="9">
        <v>73885</v>
      </c>
      <c r="G218" s="9">
        <f t="shared" si="6"/>
        <v>738850</v>
      </c>
      <c r="H218" s="2" t="str" cm="1">
        <f t="array" ref="H218">_xlfn.IFS('БАЗА (1)'!G218&gt;10000000,'Справочник (2-3)'!$G$5,AND('БАЗА (1)'!G218&lt;=10000000,'БАЗА (1)'!G218&gt;=5000000),'Справочник (2-3)'!$G$4,'БАЗА (1)'!G218&lt;5000000,'Справочник (2-3)'!$G$3)</f>
        <v>C</v>
      </c>
      <c r="I218" s="2" t="s">
        <v>75</v>
      </c>
      <c r="J218" s="2" t="str">
        <f t="shared" si="7"/>
        <v>Крапивина Л. В.</v>
      </c>
      <c r="K218" s="44">
        <v>43081</v>
      </c>
    </row>
    <row r="219" spans="1:11" x14ac:dyDescent="0.25">
      <c r="A219" s="43">
        <v>217</v>
      </c>
      <c r="B219" s="3">
        <v>3</v>
      </c>
      <c r="C219" s="2" t="str">
        <f>VLOOKUP('БАЗА (1)'!B219,'Справочник (2-3)'!$A$3:$B$9,2,FALSE)</f>
        <v>Челябинск</v>
      </c>
      <c r="D219" s="40">
        <v>42336</v>
      </c>
      <c r="E219" s="2">
        <v>36</v>
      </c>
      <c r="F219" s="9">
        <v>92683</v>
      </c>
      <c r="G219" s="9">
        <f t="shared" si="6"/>
        <v>3336588</v>
      </c>
      <c r="H219" s="2" t="str" cm="1">
        <f t="array" ref="H219">_xlfn.IFS('БАЗА (1)'!G219&gt;10000000,'Справочник (2-3)'!$G$5,AND('БАЗА (1)'!G219&lt;=10000000,'БАЗА (1)'!G219&gt;=5000000),'Справочник (2-3)'!$G$4,'БАЗА (1)'!G219&lt;5000000,'Справочник (2-3)'!$G$3)</f>
        <v>C</v>
      </c>
      <c r="I219" s="2" t="s">
        <v>70</v>
      </c>
      <c r="J219" s="2" t="str">
        <f t="shared" si="7"/>
        <v>Каячева М. В.</v>
      </c>
      <c r="K219" s="44">
        <v>42336</v>
      </c>
    </row>
    <row r="220" spans="1:11" x14ac:dyDescent="0.25">
      <c r="A220" s="43">
        <v>218</v>
      </c>
      <c r="B220" s="3">
        <v>7</v>
      </c>
      <c r="C220" s="2" t="str">
        <f>VLOOKUP('БАЗА (1)'!B220,'Справочник (2-3)'!$A$3:$B$9,2,FALSE)</f>
        <v>Йошкар-Ола</v>
      </c>
      <c r="D220" s="40">
        <v>42324</v>
      </c>
      <c r="E220" s="2">
        <v>43</v>
      </c>
      <c r="F220" s="9">
        <v>20291</v>
      </c>
      <c r="G220" s="9">
        <f t="shared" si="6"/>
        <v>872513</v>
      </c>
      <c r="H220" s="2" t="str" cm="1">
        <f t="array" ref="H220">_xlfn.IFS('БАЗА (1)'!G220&gt;10000000,'Справочник (2-3)'!$G$5,AND('БАЗА (1)'!G220&lt;=10000000,'БАЗА (1)'!G220&gt;=5000000),'Справочник (2-3)'!$G$4,'БАЗА (1)'!G220&lt;5000000,'Справочник (2-3)'!$G$3)</f>
        <v>C</v>
      </c>
      <c r="I220" s="2" t="s">
        <v>47</v>
      </c>
      <c r="J220" s="2" t="str">
        <f t="shared" si="7"/>
        <v>Байбикова Н. М.</v>
      </c>
      <c r="K220" s="44">
        <v>42324</v>
      </c>
    </row>
    <row r="221" spans="1:11" x14ac:dyDescent="0.25">
      <c r="A221" s="43">
        <v>219</v>
      </c>
      <c r="B221" s="3">
        <v>2</v>
      </c>
      <c r="C221" s="2" t="str">
        <f>VLOOKUP('БАЗА (1)'!B221,'Справочник (2-3)'!$A$3:$B$9,2,FALSE)</f>
        <v>Санкт-Петербург</v>
      </c>
      <c r="D221" s="40">
        <v>41589</v>
      </c>
      <c r="E221" s="2">
        <v>66</v>
      </c>
      <c r="F221" s="9">
        <v>36089</v>
      </c>
      <c r="G221" s="9">
        <f t="shared" si="6"/>
        <v>2381874</v>
      </c>
      <c r="H221" s="2" t="str" cm="1">
        <f t="array" ref="H221">_xlfn.IFS('БАЗА (1)'!G221&gt;10000000,'Справочник (2-3)'!$G$5,AND('БАЗА (1)'!G221&lt;=10000000,'БАЗА (1)'!G221&gt;=5000000),'Справочник (2-3)'!$G$4,'БАЗА (1)'!G221&lt;5000000,'Справочник (2-3)'!$G$3)</f>
        <v>C</v>
      </c>
      <c r="I221" s="2" t="s">
        <v>79</v>
      </c>
      <c r="J221" s="2" t="str">
        <f t="shared" si="7"/>
        <v>Лыхина Т. А.</v>
      </c>
      <c r="K221" s="44">
        <v>41589</v>
      </c>
    </row>
    <row r="222" spans="1:11" x14ac:dyDescent="0.25">
      <c r="A222" s="43">
        <v>220</v>
      </c>
      <c r="B222" s="3">
        <v>1</v>
      </c>
      <c r="C222" s="2" t="str">
        <f>VLOOKUP('БАЗА (1)'!B222,'Справочник (2-3)'!$A$3:$B$9,2,FALSE)</f>
        <v>Москва</v>
      </c>
      <c r="D222" s="40">
        <v>43018</v>
      </c>
      <c r="E222" s="2">
        <v>116</v>
      </c>
      <c r="F222" s="9">
        <v>76176</v>
      </c>
      <c r="G222" s="9">
        <f t="shared" si="6"/>
        <v>8836416</v>
      </c>
      <c r="H222" s="2" t="str" cm="1">
        <f t="array" ref="H222">_xlfn.IFS('БАЗА (1)'!G222&gt;10000000,'Справочник (2-3)'!$G$5,AND('БАЗА (1)'!G222&lt;=10000000,'БАЗА (1)'!G222&gt;=5000000),'Справочник (2-3)'!$G$4,'БАЗА (1)'!G222&lt;5000000,'Справочник (2-3)'!$G$3)</f>
        <v>B</v>
      </c>
      <c r="I222" s="2" t="s">
        <v>74</v>
      </c>
      <c r="J222" s="2" t="str">
        <f t="shared" si="7"/>
        <v>Косикова Е. А.</v>
      </c>
      <c r="K222" s="44">
        <v>43018</v>
      </c>
    </row>
    <row r="223" spans="1:11" x14ac:dyDescent="0.25">
      <c r="A223" s="43">
        <v>221</v>
      </c>
      <c r="B223" s="3">
        <v>2</v>
      </c>
      <c r="C223" s="2" t="str">
        <f>VLOOKUP('БАЗА (1)'!B223,'Справочник (2-3)'!$A$3:$B$9,2,FALSE)</f>
        <v>Санкт-Петербург</v>
      </c>
      <c r="D223" s="40">
        <v>41927</v>
      </c>
      <c r="E223" s="2">
        <v>39</v>
      </c>
      <c r="F223" s="9">
        <v>71444</v>
      </c>
      <c r="G223" s="9">
        <f t="shared" si="6"/>
        <v>2786316</v>
      </c>
      <c r="H223" s="2" t="str" cm="1">
        <f t="array" ref="H223">_xlfn.IFS('БАЗА (1)'!G223&gt;10000000,'Справочник (2-3)'!$G$5,AND('БАЗА (1)'!G223&lt;=10000000,'БАЗА (1)'!G223&gt;=5000000),'Справочник (2-3)'!$G$4,'БАЗА (1)'!G223&lt;5000000,'Справочник (2-3)'!$G$3)</f>
        <v>C</v>
      </c>
      <c r="I223" s="2" t="s">
        <v>51</v>
      </c>
      <c r="J223" s="2" t="str">
        <f t="shared" si="7"/>
        <v>Васнин В. В.</v>
      </c>
      <c r="K223" s="44">
        <v>41927</v>
      </c>
    </row>
    <row r="224" spans="1:11" x14ac:dyDescent="0.25">
      <c r="A224" s="43">
        <v>222</v>
      </c>
      <c r="B224" s="3">
        <v>4</v>
      </c>
      <c r="C224" s="2" t="str">
        <f>VLOOKUP('БАЗА (1)'!B224,'Справочник (2-3)'!$A$3:$B$9,2,FALSE)</f>
        <v>Казань</v>
      </c>
      <c r="D224" s="40">
        <v>43094</v>
      </c>
      <c r="E224" s="2">
        <v>60</v>
      </c>
      <c r="F224" s="9">
        <v>74283</v>
      </c>
      <c r="G224" s="9">
        <f t="shared" si="6"/>
        <v>4456980</v>
      </c>
      <c r="H224" s="2" t="str" cm="1">
        <f t="array" ref="H224">_xlfn.IFS('БАЗА (1)'!G224&gt;10000000,'Справочник (2-3)'!$G$5,AND('БАЗА (1)'!G224&lt;=10000000,'БАЗА (1)'!G224&gt;=5000000),'Справочник (2-3)'!$G$4,'БАЗА (1)'!G224&lt;5000000,'Справочник (2-3)'!$G$3)</f>
        <v>C</v>
      </c>
      <c r="I224" s="2" t="s">
        <v>63</v>
      </c>
      <c r="J224" s="2" t="str">
        <f t="shared" si="7"/>
        <v>Зуева Е. Ю.</v>
      </c>
      <c r="K224" s="44">
        <v>43094</v>
      </c>
    </row>
    <row r="225" spans="1:11" x14ac:dyDescent="0.25">
      <c r="A225" s="43">
        <v>223</v>
      </c>
      <c r="B225" s="3">
        <v>5</v>
      </c>
      <c r="C225" s="2" t="str">
        <f>VLOOKUP('БАЗА (1)'!B225,'Справочник (2-3)'!$A$3:$B$9,2,FALSE)</f>
        <v>Омск</v>
      </c>
      <c r="D225" s="40">
        <v>43023</v>
      </c>
      <c r="E225" s="2">
        <v>106</v>
      </c>
      <c r="F225" s="9">
        <v>92007</v>
      </c>
      <c r="G225" s="9">
        <f t="shared" si="6"/>
        <v>9752742</v>
      </c>
      <c r="H225" s="2" t="str" cm="1">
        <f t="array" ref="H225">_xlfn.IFS('БАЗА (1)'!G225&gt;10000000,'Справочник (2-3)'!$G$5,AND('БАЗА (1)'!G225&lt;=10000000,'БАЗА (1)'!G225&gt;=5000000),'Справочник (2-3)'!$G$4,'БАЗА (1)'!G225&lt;5000000,'Справочник (2-3)'!$G$3)</f>
        <v>B</v>
      </c>
      <c r="I225" s="2" t="s">
        <v>51</v>
      </c>
      <c r="J225" s="2" t="str">
        <f t="shared" si="7"/>
        <v>Васнин В. В.</v>
      </c>
      <c r="K225" s="44">
        <v>43023</v>
      </c>
    </row>
    <row r="226" spans="1:11" x14ac:dyDescent="0.25">
      <c r="A226" s="43">
        <v>224</v>
      </c>
      <c r="B226" s="3">
        <v>2</v>
      </c>
      <c r="C226" s="2" t="str">
        <f>VLOOKUP('БАЗА (1)'!B226,'Справочник (2-3)'!$A$3:$B$9,2,FALSE)</f>
        <v>Санкт-Петербург</v>
      </c>
      <c r="D226" s="40">
        <v>43086</v>
      </c>
      <c r="E226" s="2">
        <v>115</v>
      </c>
      <c r="F226" s="9">
        <v>78373</v>
      </c>
      <c r="G226" s="9">
        <f t="shared" si="6"/>
        <v>9012895</v>
      </c>
      <c r="H226" s="2" t="str" cm="1">
        <f t="array" ref="H226">_xlfn.IFS('БАЗА (1)'!G226&gt;10000000,'Справочник (2-3)'!$G$5,AND('БАЗА (1)'!G226&lt;=10000000,'БАЗА (1)'!G226&gt;=5000000),'Справочник (2-3)'!$G$4,'БАЗА (1)'!G226&lt;5000000,'Справочник (2-3)'!$G$3)</f>
        <v>B</v>
      </c>
      <c r="I226" s="2" t="s">
        <v>75</v>
      </c>
      <c r="J226" s="2" t="str">
        <f t="shared" si="7"/>
        <v>Крапивина Л. В.</v>
      </c>
      <c r="K226" s="44">
        <v>43086</v>
      </c>
    </row>
    <row r="227" spans="1:11" x14ac:dyDescent="0.25">
      <c r="A227" s="43">
        <v>225</v>
      </c>
      <c r="B227" s="3">
        <v>6</v>
      </c>
      <c r="C227" s="2" t="str">
        <f>VLOOKUP('БАЗА (1)'!B227,'Справочник (2-3)'!$A$3:$B$9,2,FALSE)</f>
        <v>Харьков</v>
      </c>
      <c r="D227" s="40">
        <v>42358</v>
      </c>
      <c r="E227" s="2">
        <v>62</v>
      </c>
      <c r="F227" s="9">
        <v>26001</v>
      </c>
      <c r="G227" s="9">
        <f t="shared" si="6"/>
        <v>1612062</v>
      </c>
      <c r="H227" s="2" t="str" cm="1">
        <f t="array" ref="H227">_xlfn.IFS('БАЗА (1)'!G227&gt;10000000,'Справочник (2-3)'!$G$5,AND('БАЗА (1)'!G227&lt;=10000000,'БАЗА (1)'!G227&gt;=5000000),'Справочник (2-3)'!$G$4,'БАЗА (1)'!G227&lt;5000000,'Справочник (2-3)'!$G$3)</f>
        <v>C</v>
      </c>
      <c r="I227" s="2" t="s">
        <v>88</v>
      </c>
      <c r="J227" s="2" t="str">
        <f t="shared" si="7"/>
        <v>Ользатиева Л. Г.</v>
      </c>
      <c r="K227" s="44">
        <v>42358</v>
      </c>
    </row>
    <row r="228" spans="1:11" x14ac:dyDescent="0.25">
      <c r="A228" s="43">
        <v>226</v>
      </c>
      <c r="B228" s="3">
        <v>2</v>
      </c>
      <c r="C228" s="2" t="str">
        <f>VLOOKUP('БАЗА (1)'!B228,'Справочник (2-3)'!$A$3:$B$9,2,FALSE)</f>
        <v>Санкт-Петербург</v>
      </c>
      <c r="D228" s="40">
        <v>41965</v>
      </c>
      <c r="E228" s="2">
        <v>127</v>
      </c>
      <c r="F228" s="9">
        <v>7419</v>
      </c>
      <c r="G228" s="9">
        <f t="shared" si="6"/>
        <v>942213</v>
      </c>
      <c r="H228" s="2" t="str" cm="1">
        <f t="array" ref="H228">_xlfn.IFS('БАЗА (1)'!G228&gt;10000000,'Справочник (2-3)'!$G$5,AND('БАЗА (1)'!G228&lt;=10000000,'БАЗА (1)'!G228&gt;=5000000),'Справочник (2-3)'!$G$4,'БАЗА (1)'!G228&lt;5000000,'Справочник (2-3)'!$G$3)</f>
        <v>C</v>
      </c>
      <c r="I228" s="2" t="s">
        <v>94</v>
      </c>
      <c r="J228" s="2" t="str">
        <f t="shared" si="7"/>
        <v>Петрушкевич О. В.</v>
      </c>
      <c r="K228" s="44">
        <v>41965</v>
      </c>
    </row>
    <row r="229" spans="1:11" x14ac:dyDescent="0.25">
      <c r="A229" s="43">
        <v>227</v>
      </c>
      <c r="B229" s="3">
        <v>2</v>
      </c>
      <c r="C229" s="2" t="str">
        <f>VLOOKUP('БАЗА (1)'!B229,'Справочник (2-3)'!$A$3:$B$9,2,FALSE)</f>
        <v>Санкт-Петербург</v>
      </c>
      <c r="D229" s="40">
        <v>43027</v>
      </c>
      <c r="E229" s="2">
        <v>58</v>
      </c>
      <c r="F229" s="9">
        <v>79908</v>
      </c>
      <c r="G229" s="9">
        <f t="shared" si="6"/>
        <v>4634664</v>
      </c>
      <c r="H229" s="2" t="str" cm="1">
        <f t="array" ref="H229">_xlfn.IFS('БАЗА (1)'!G229&gt;10000000,'Справочник (2-3)'!$G$5,AND('БАЗА (1)'!G229&lt;=10000000,'БАЗА (1)'!G229&gt;=5000000),'Справочник (2-3)'!$G$4,'БАЗА (1)'!G229&lt;5000000,'Справочник (2-3)'!$G$3)</f>
        <v>C</v>
      </c>
      <c r="I229" s="2" t="s">
        <v>81</v>
      </c>
      <c r="J229" s="2" t="str">
        <f t="shared" si="7"/>
        <v>Мамаева О. Ю.</v>
      </c>
      <c r="K229" s="44">
        <v>43027</v>
      </c>
    </row>
    <row r="230" spans="1:11" x14ac:dyDescent="0.25">
      <c r="A230" s="43">
        <v>228</v>
      </c>
      <c r="B230" s="3">
        <v>1</v>
      </c>
      <c r="C230" s="2" t="str">
        <f>VLOOKUP('БАЗА (1)'!B230,'Справочник (2-3)'!$A$3:$B$9,2,FALSE)</f>
        <v>Москва</v>
      </c>
      <c r="D230" s="40">
        <v>41562</v>
      </c>
      <c r="E230" s="2">
        <v>11</v>
      </c>
      <c r="F230" s="9">
        <v>82842</v>
      </c>
      <c r="G230" s="9">
        <f t="shared" si="6"/>
        <v>911262</v>
      </c>
      <c r="H230" s="2" t="str" cm="1">
        <f t="array" ref="H230">_xlfn.IFS('БАЗА (1)'!G230&gt;10000000,'Справочник (2-3)'!$G$5,AND('БАЗА (1)'!G230&lt;=10000000,'БАЗА (1)'!G230&gt;=5000000),'Справочник (2-3)'!$G$4,'БАЗА (1)'!G230&lt;5000000,'Справочник (2-3)'!$G$3)</f>
        <v>C</v>
      </c>
      <c r="I230" s="2" t="s">
        <v>54</v>
      </c>
      <c r="J230" s="2" t="str">
        <f t="shared" si="7"/>
        <v>Голдобина А. В.</v>
      </c>
      <c r="K230" s="44">
        <v>41562</v>
      </c>
    </row>
    <row r="231" spans="1:11" x14ac:dyDescent="0.25">
      <c r="A231" s="43">
        <v>229</v>
      </c>
      <c r="B231" s="3">
        <v>5</v>
      </c>
      <c r="C231" s="2" t="str">
        <f>VLOOKUP('БАЗА (1)'!B231,'Справочник (2-3)'!$A$3:$B$9,2,FALSE)</f>
        <v>Омск</v>
      </c>
      <c r="D231" s="40">
        <v>42305</v>
      </c>
      <c r="E231" s="2">
        <v>115</v>
      </c>
      <c r="F231" s="9">
        <v>13496</v>
      </c>
      <c r="G231" s="9">
        <f t="shared" si="6"/>
        <v>1552040</v>
      </c>
      <c r="H231" s="2" t="str" cm="1">
        <f t="array" ref="H231">_xlfn.IFS('БАЗА (1)'!G231&gt;10000000,'Справочник (2-3)'!$G$5,AND('БАЗА (1)'!G231&lt;=10000000,'БАЗА (1)'!G231&gt;=5000000),'Справочник (2-3)'!$G$4,'БАЗА (1)'!G231&lt;5000000,'Справочник (2-3)'!$G$3)</f>
        <v>C</v>
      </c>
      <c r="I231" s="2" t="s">
        <v>70</v>
      </c>
      <c r="J231" s="2" t="str">
        <f t="shared" si="7"/>
        <v>Каячева М. В.</v>
      </c>
      <c r="K231" s="44">
        <v>42305</v>
      </c>
    </row>
    <row r="232" spans="1:11" x14ac:dyDescent="0.25">
      <c r="A232" s="43">
        <v>230</v>
      </c>
      <c r="B232" s="3">
        <v>1</v>
      </c>
      <c r="C232" s="2" t="str">
        <f>VLOOKUP('БАЗА (1)'!B232,'Справочник (2-3)'!$A$3:$B$9,2,FALSE)</f>
        <v>Москва</v>
      </c>
      <c r="D232" s="40">
        <v>42654</v>
      </c>
      <c r="E232" s="2">
        <v>171</v>
      </c>
      <c r="F232" s="9">
        <v>19711</v>
      </c>
      <c r="G232" s="9">
        <f t="shared" si="6"/>
        <v>3370581</v>
      </c>
      <c r="H232" s="2" t="str" cm="1">
        <f t="array" ref="H232">_xlfn.IFS('БАЗА (1)'!G232&gt;10000000,'Справочник (2-3)'!$G$5,AND('БАЗА (1)'!G232&lt;=10000000,'БАЗА (1)'!G232&gt;=5000000),'Справочник (2-3)'!$G$4,'БАЗА (1)'!G232&lt;5000000,'Справочник (2-3)'!$G$3)</f>
        <v>C</v>
      </c>
      <c r="I232" s="2" t="s">
        <v>81</v>
      </c>
      <c r="J232" s="2" t="str">
        <f t="shared" si="7"/>
        <v>Мамаева О. Ю.</v>
      </c>
      <c r="K232" s="44">
        <v>42654</v>
      </c>
    </row>
    <row r="233" spans="1:11" x14ac:dyDescent="0.25">
      <c r="A233" s="43">
        <v>231</v>
      </c>
      <c r="B233" s="3">
        <v>3</v>
      </c>
      <c r="C233" s="2" t="str">
        <f>VLOOKUP('БАЗА (1)'!B233,'Справочник (2-3)'!$A$3:$B$9,2,FALSE)</f>
        <v>Челябинск</v>
      </c>
      <c r="D233" s="40">
        <v>42320</v>
      </c>
      <c r="E233" s="2">
        <v>190</v>
      </c>
      <c r="F233" s="9">
        <v>35985</v>
      </c>
      <c r="G233" s="9">
        <f t="shared" si="6"/>
        <v>6837150</v>
      </c>
      <c r="H233" s="2" t="str" cm="1">
        <f t="array" ref="H233">_xlfn.IFS('БАЗА (1)'!G233&gt;10000000,'Справочник (2-3)'!$G$5,AND('БАЗА (1)'!G233&lt;=10000000,'БАЗА (1)'!G233&gt;=5000000),'Справочник (2-3)'!$G$4,'БАЗА (1)'!G233&lt;5000000,'Справочник (2-3)'!$G$3)</f>
        <v>B</v>
      </c>
      <c r="I233" s="2" t="s">
        <v>60</v>
      </c>
      <c r="J233" s="2" t="str">
        <f t="shared" si="7"/>
        <v>Дружинин А. В.</v>
      </c>
      <c r="K233" s="44">
        <v>42320</v>
      </c>
    </row>
    <row r="234" spans="1:11" x14ac:dyDescent="0.25">
      <c r="A234" s="43">
        <v>232</v>
      </c>
      <c r="B234" s="3">
        <v>1</v>
      </c>
      <c r="C234" s="2" t="str">
        <f>VLOOKUP('БАЗА (1)'!B234,'Справочник (2-3)'!$A$3:$B$9,2,FALSE)</f>
        <v>Москва</v>
      </c>
      <c r="D234" s="40">
        <v>41986</v>
      </c>
      <c r="E234" s="2">
        <v>34</v>
      </c>
      <c r="F234" s="9">
        <v>17608</v>
      </c>
      <c r="G234" s="9">
        <f t="shared" si="6"/>
        <v>598672</v>
      </c>
      <c r="H234" s="2" t="str" cm="1">
        <f t="array" ref="H234">_xlfn.IFS('БАЗА (1)'!G234&gt;10000000,'Справочник (2-3)'!$G$5,AND('БАЗА (1)'!G234&lt;=10000000,'БАЗА (1)'!G234&gt;=5000000),'Справочник (2-3)'!$G$4,'БАЗА (1)'!G234&lt;5000000,'Справочник (2-3)'!$G$3)</f>
        <v>C</v>
      </c>
      <c r="I234" s="2" t="s">
        <v>64</v>
      </c>
      <c r="J234" s="2" t="str">
        <f t="shared" si="7"/>
        <v>Иванов В. Г.</v>
      </c>
      <c r="K234" s="44">
        <v>41986</v>
      </c>
    </row>
    <row r="235" spans="1:11" x14ac:dyDescent="0.25">
      <c r="A235" s="43">
        <v>233</v>
      </c>
      <c r="B235" s="3">
        <v>3</v>
      </c>
      <c r="C235" s="2" t="str">
        <f>VLOOKUP('БАЗА (1)'!B235,'Справочник (2-3)'!$A$3:$B$9,2,FALSE)</f>
        <v>Челябинск</v>
      </c>
      <c r="D235" s="40">
        <v>42718</v>
      </c>
      <c r="E235" s="2">
        <v>103</v>
      </c>
      <c r="F235" s="9">
        <v>83230</v>
      </c>
      <c r="G235" s="9">
        <f t="shared" si="6"/>
        <v>8572690</v>
      </c>
      <c r="H235" s="2" t="str" cm="1">
        <f t="array" ref="H235">_xlfn.IFS('БАЗА (1)'!G235&gt;10000000,'Справочник (2-3)'!$G$5,AND('БАЗА (1)'!G235&lt;=10000000,'БАЗА (1)'!G235&gt;=5000000),'Справочник (2-3)'!$G$4,'БАЗА (1)'!G235&lt;5000000,'Справочник (2-3)'!$G$3)</f>
        <v>B</v>
      </c>
      <c r="I235" s="2" t="s">
        <v>90</v>
      </c>
      <c r="J235" s="2" t="str">
        <f t="shared" si="7"/>
        <v>Павлова Н. И.</v>
      </c>
      <c r="K235" s="44">
        <v>42718</v>
      </c>
    </row>
    <row r="236" spans="1:11" x14ac:dyDescent="0.25">
      <c r="A236" s="43">
        <v>234</v>
      </c>
      <c r="B236" s="3">
        <v>3</v>
      </c>
      <c r="C236" s="2" t="str">
        <f>VLOOKUP('БАЗА (1)'!B236,'Справочник (2-3)'!$A$3:$B$9,2,FALSE)</f>
        <v>Челябинск</v>
      </c>
      <c r="D236" s="40">
        <v>42289</v>
      </c>
      <c r="E236" s="2">
        <v>116</v>
      </c>
      <c r="F236" s="9">
        <v>74279</v>
      </c>
      <c r="G236" s="9">
        <f t="shared" si="6"/>
        <v>8616364</v>
      </c>
      <c r="H236" s="2" t="str" cm="1">
        <f t="array" ref="H236">_xlfn.IFS('БАЗА (1)'!G236&gt;10000000,'Справочник (2-3)'!$G$5,AND('БАЗА (1)'!G236&lt;=10000000,'БАЗА (1)'!G236&gt;=5000000),'Справочник (2-3)'!$G$4,'БАЗА (1)'!G236&lt;5000000,'Справочник (2-3)'!$G$3)</f>
        <v>B</v>
      </c>
      <c r="I236" s="2" t="s">
        <v>88</v>
      </c>
      <c r="J236" s="2" t="str">
        <f t="shared" si="7"/>
        <v>Ользатиева Л. Г.</v>
      </c>
      <c r="K236" s="44">
        <v>42289</v>
      </c>
    </row>
    <row r="237" spans="1:11" x14ac:dyDescent="0.25">
      <c r="A237" s="43">
        <v>235</v>
      </c>
      <c r="B237" s="3">
        <v>1</v>
      </c>
      <c r="C237" s="2" t="str">
        <f>VLOOKUP('БАЗА (1)'!B237,'Справочник (2-3)'!$A$3:$B$9,2,FALSE)</f>
        <v>Москва</v>
      </c>
      <c r="D237" s="40">
        <v>41619</v>
      </c>
      <c r="E237" s="2">
        <v>148</v>
      </c>
      <c r="F237" s="9">
        <v>40164</v>
      </c>
      <c r="G237" s="9">
        <f t="shared" si="6"/>
        <v>5944272</v>
      </c>
      <c r="H237" s="2" t="str" cm="1">
        <f t="array" ref="H237">_xlfn.IFS('БАЗА (1)'!G237&gt;10000000,'Справочник (2-3)'!$G$5,AND('БАЗА (1)'!G237&lt;=10000000,'БАЗА (1)'!G237&gt;=5000000),'Справочник (2-3)'!$G$4,'БАЗА (1)'!G237&lt;5000000,'Справочник (2-3)'!$G$3)</f>
        <v>B</v>
      </c>
      <c r="I237" s="2" t="s">
        <v>47</v>
      </c>
      <c r="J237" s="2" t="str">
        <f t="shared" si="7"/>
        <v>Байбикова Н. М.</v>
      </c>
      <c r="K237" s="44">
        <v>41619</v>
      </c>
    </row>
    <row r="238" spans="1:11" x14ac:dyDescent="0.25">
      <c r="A238" s="43">
        <v>236</v>
      </c>
      <c r="B238" s="3">
        <v>3</v>
      </c>
      <c r="C238" s="2" t="str">
        <f>VLOOKUP('БАЗА (1)'!B238,'Справочник (2-3)'!$A$3:$B$9,2,FALSE)</f>
        <v>Челябинск</v>
      </c>
      <c r="D238" s="40">
        <v>43034</v>
      </c>
      <c r="E238" s="2">
        <v>182</v>
      </c>
      <c r="F238" s="9">
        <v>27206</v>
      </c>
      <c r="G238" s="9">
        <f t="shared" si="6"/>
        <v>4951492</v>
      </c>
      <c r="H238" s="2" t="str" cm="1">
        <f t="array" ref="H238">_xlfn.IFS('БАЗА (1)'!G238&gt;10000000,'Справочник (2-3)'!$G$5,AND('БАЗА (1)'!G238&lt;=10000000,'БАЗА (1)'!G238&gt;=5000000),'Справочник (2-3)'!$G$4,'БАЗА (1)'!G238&lt;5000000,'Справочник (2-3)'!$G$3)</f>
        <v>C</v>
      </c>
      <c r="I238" s="2" t="s">
        <v>98</v>
      </c>
      <c r="J238" s="2" t="str">
        <f t="shared" si="7"/>
        <v>Попова А. А.</v>
      </c>
      <c r="K238" s="44">
        <v>43034</v>
      </c>
    </row>
    <row r="239" spans="1:11" x14ac:dyDescent="0.25">
      <c r="A239" s="43">
        <v>237</v>
      </c>
      <c r="B239" s="3">
        <v>3</v>
      </c>
      <c r="C239" s="2" t="str">
        <f>VLOOKUP('БАЗА (1)'!B239,'Справочник (2-3)'!$A$3:$B$9,2,FALSE)</f>
        <v>Челябинск</v>
      </c>
      <c r="D239" s="40">
        <v>42656</v>
      </c>
      <c r="E239" s="2">
        <v>27</v>
      </c>
      <c r="F239" s="9">
        <v>59254</v>
      </c>
      <c r="G239" s="9">
        <f t="shared" si="6"/>
        <v>1599858</v>
      </c>
      <c r="H239" s="2" t="str" cm="1">
        <f t="array" ref="H239">_xlfn.IFS('БАЗА (1)'!G239&gt;10000000,'Справочник (2-3)'!$G$5,AND('БАЗА (1)'!G239&lt;=10000000,'БАЗА (1)'!G239&gt;=5000000),'Справочник (2-3)'!$G$4,'БАЗА (1)'!G239&lt;5000000,'Справочник (2-3)'!$G$3)</f>
        <v>C</v>
      </c>
      <c r="I239" s="2" t="s">
        <v>46</v>
      </c>
      <c r="J239" s="2" t="str">
        <f t="shared" si="7"/>
        <v>Анфалова Л. Р.</v>
      </c>
      <c r="K239" s="44">
        <v>42656</v>
      </c>
    </row>
    <row r="240" spans="1:11" x14ac:dyDescent="0.25">
      <c r="A240" s="43">
        <v>238</v>
      </c>
      <c r="B240" s="3">
        <v>6</v>
      </c>
      <c r="C240" s="2" t="str">
        <f>VLOOKUP('БАЗА (1)'!B240,'Справочник (2-3)'!$A$3:$B$9,2,FALSE)</f>
        <v>Харьков</v>
      </c>
      <c r="D240" s="40">
        <v>41628</v>
      </c>
      <c r="E240" s="2">
        <v>101</v>
      </c>
      <c r="F240" s="9">
        <v>69715</v>
      </c>
      <c r="G240" s="9">
        <f t="shared" si="6"/>
        <v>7041215</v>
      </c>
      <c r="H240" s="2" t="str" cm="1">
        <f t="array" ref="H240">_xlfn.IFS('БАЗА (1)'!G240&gt;10000000,'Справочник (2-3)'!$G$5,AND('БАЗА (1)'!G240&lt;=10000000,'БАЗА (1)'!G240&gt;=5000000),'Справочник (2-3)'!$G$4,'БАЗА (1)'!G240&lt;5000000,'Справочник (2-3)'!$G$3)</f>
        <v>B</v>
      </c>
      <c r="I240" s="2" t="s">
        <v>66</v>
      </c>
      <c r="J240" s="2" t="str">
        <f t="shared" si="7"/>
        <v>Ильина Т. Н.</v>
      </c>
      <c r="K240" s="44">
        <v>41628</v>
      </c>
    </row>
    <row r="241" spans="1:11" x14ac:dyDescent="0.25">
      <c r="A241" s="43">
        <v>239</v>
      </c>
      <c r="B241" s="3">
        <v>2</v>
      </c>
      <c r="C241" s="2" t="str">
        <f>VLOOKUP('БАЗА (1)'!B241,'Справочник (2-3)'!$A$3:$B$9,2,FALSE)</f>
        <v>Санкт-Петербург</v>
      </c>
      <c r="D241" s="40">
        <v>41938</v>
      </c>
      <c r="E241" s="2">
        <v>143</v>
      </c>
      <c r="F241" s="9">
        <v>9642</v>
      </c>
      <c r="G241" s="9">
        <f t="shared" si="6"/>
        <v>1378806</v>
      </c>
      <c r="H241" s="2" t="str" cm="1">
        <f t="array" ref="H241">_xlfn.IFS('БАЗА (1)'!G241&gt;10000000,'Справочник (2-3)'!$G$5,AND('БАЗА (1)'!G241&lt;=10000000,'БАЗА (1)'!G241&gt;=5000000),'Справочник (2-3)'!$G$4,'БАЗА (1)'!G241&lt;5000000,'Справочник (2-3)'!$G$3)</f>
        <v>C</v>
      </c>
      <c r="I241" s="2" t="s">
        <v>60</v>
      </c>
      <c r="J241" s="2" t="str">
        <f t="shared" si="7"/>
        <v>Дружинин А. В.</v>
      </c>
      <c r="K241" s="44">
        <v>41938</v>
      </c>
    </row>
    <row r="242" spans="1:11" x14ac:dyDescent="0.25">
      <c r="A242" s="43">
        <v>240</v>
      </c>
      <c r="B242" s="3">
        <v>1</v>
      </c>
      <c r="C242" s="2" t="str">
        <f>VLOOKUP('БАЗА (1)'!B242,'Справочник (2-3)'!$A$3:$B$9,2,FALSE)</f>
        <v>Москва</v>
      </c>
      <c r="D242" s="40">
        <v>42290</v>
      </c>
      <c r="E242" s="2">
        <v>195</v>
      </c>
      <c r="F242" s="9">
        <v>41723</v>
      </c>
      <c r="G242" s="9">
        <f t="shared" si="6"/>
        <v>8135985</v>
      </c>
      <c r="H242" s="2" t="str" cm="1">
        <f t="array" ref="H242">_xlfn.IFS('БАЗА (1)'!G242&gt;10000000,'Справочник (2-3)'!$G$5,AND('БАЗА (1)'!G242&lt;=10000000,'БАЗА (1)'!G242&gt;=5000000),'Справочник (2-3)'!$G$4,'БАЗА (1)'!G242&lt;5000000,'Справочник (2-3)'!$G$3)</f>
        <v>B</v>
      </c>
      <c r="I242" s="2" t="s">
        <v>98</v>
      </c>
      <c r="J242" s="2" t="str">
        <f t="shared" si="7"/>
        <v>Попова А. А.</v>
      </c>
      <c r="K242" s="44">
        <v>42290</v>
      </c>
    </row>
    <row r="243" spans="1:11" x14ac:dyDescent="0.25">
      <c r="A243" s="43">
        <v>241</v>
      </c>
      <c r="B243" s="3">
        <v>2</v>
      </c>
      <c r="C243" s="2" t="str">
        <f>VLOOKUP('БАЗА (1)'!B243,'Справочник (2-3)'!$A$3:$B$9,2,FALSE)</f>
        <v>Санкт-Петербург</v>
      </c>
      <c r="D243" s="40">
        <v>41623</v>
      </c>
      <c r="E243" s="2">
        <v>125</v>
      </c>
      <c r="F243" s="9">
        <v>34085</v>
      </c>
      <c r="G243" s="9">
        <f t="shared" si="6"/>
        <v>4260625</v>
      </c>
      <c r="H243" s="2" t="str" cm="1">
        <f t="array" ref="H243">_xlfn.IFS('БАЗА (1)'!G243&gt;10000000,'Справочник (2-3)'!$G$5,AND('БАЗА (1)'!G243&lt;=10000000,'БАЗА (1)'!G243&gt;=5000000),'Справочник (2-3)'!$G$4,'БАЗА (1)'!G243&lt;5000000,'Справочник (2-3)'!$G$3)</f>
        <v>C</v>
      </c>
      <c r="I243" s="2" t="s">
        <v>90</v>
      </c>
      <c r="J243" s="2" t="str">
        <f t="shared" si="7"/>
        <v>Павлова Н. И.</v>
      </c>
      <c r="K243" s="44">
        <v>41623</v>
      </c>
    </row>
    <row r="244" spans="1:11" x14ac:dyDescent="0.25">
      <c r="A244" s="43">
        <v>242</v>
      </c>
      <c r="B244" s="3">
        <v>1</v>
      </c>
      <c r="C244" s="2" t="str">
        <f>VLOOKUP('БАЗА (1)'!B244,'Справочник (2-3)'!$A$3:$B$9,2,FALSE)</f>
        <v>Москва</v>
      </c>
      <c r="D244" s="40">
        <v>42662</v>
      </c>
      <c r="E244" s="2">
        <v>38</v>
      </c>
      <c r="F244" s="9">
        <v>78356</v>
      </c>
      <c r="G244" s="9">
        <f t="shared" si="6"/>
        <v>2977528</v>
      </c>
      <c r="H244" s="2" t="str" cm="1">
        <f t="array" ref="H244">_xlfn.IFS('БАЗА (1)'!G244&gt;10000000,'Справочник (2-3)'!$G$5,AND('БАЗА (1)'!G244&lt;=10000000,'БАЗА (1)'!G244&gt;=5000000),'Справочник (2-3)'!$G$4,'БАЗА (1)'!G244&lt;5000000,'Справочник (2-3)'!$G$3)</f>
        <v>C</v>
      </c>
      <c r="I244" s="2" t="s">
        <v>62</v>
      </c>
      <c r="J244" s="2" t="str">
        <f t="shared" si="7"/>
        <v>Зубова И. М.</v>
      </c>
      <c r="K244" s="44">
        <v>42662</v>
      </c>
    </row>
    <row r="245" spans="1:11" x14ac:dyDescent="0.25">
      <c r="A245" s="43">
        <v>243</v>
      </c>
      <c r="B245" s="3">
        <v>4</v>
      </c>
      <c r="C245" s="2" t="str">
        <f>VLOOKUP('БАЗА (1)'!B245,'Справочник (2-3)'!$A$3:$B$9,2,FALSE)</f>
        <v>Казань</v>
      </c>
      <c r="D245" s="40">
        <v>43021</v>
      </c>
      <c r="E245" s="2">
        <v>54</v>
      </c>
      <c r="F245" s="9">
        <v>79030</v>
      </c>
      <c r="G245" s="9">
        <f t="shared" si="6"/>
        <v>4267620</v>
      </c>
      <c r="H245" s="2" t="str" cm="1">
        <f t="array" ref="H245">_xlfn.IFS('БАЗА (1)'!G245&gt;10000000,'Справочник (2-3)'!$G$5,AND('БАЗА (1)'!G245&lt;=10000000,'БАЗА (1)'!G245&gt;=5000000),'Справочник (2-3)'!$G$4,'БАЗА (1)'!G245&lt;5000000,'Справочник (2-3)'!$G$3)</f>
        <v>C</v>
      </c>
      <c r="I245" s="2" t="s">
        <v>68</v>
      </c>
      <c r="J245" s="2" t="str">
        <f t="shared" si="7"/>
        <v>Кадырова Е. А.</v>
      </c>
      <c r="K245" s="44">
        <v>43021</v>
      </c>
    </row>
    <row r="246" spans="1:11" x14ac:dyDescent="0.25">
      <c r="A246" s="43">
        <v>244</v>
      </c>
      <c r="B246" s="3">
        <v>6</v>
      </c>
      <c r="C246" s="2" t="str">
        <f>VLOOKUP('БАЗА (1)'!B246,'Справочник (2-3)'!$A$3:$B$9,2,FALSE)</f>
        <v>Харьков</v>
      </c>
      <c r="D246" s="40">
        <v>42658</v>
      </c>
      <c r="E246" s="2">
        <v>180</v>
      </c>
      <c r="F246" s="9">
        <v>88096</v>
      </c>
      <c r="G246" s="9">
        <f t="shared" si="6"/>
        <v>15857280</v>
      </c>
      <c r="H246" s="2" t="str" cm="1">
        <f t="array" ref="H246">_xlfn.IFS('БАЗА (1)'!G246&gt;10000000,'Справочник (2-3)'!$G$5,AND('БАЗА (1)'!G246&lt;=10000000,'БАЗА (1)'!G246&gt;=5000000),'Справочник (2-3)'!$G$4,'БАЗА (1)'!G246&lt;5000000,'Справочник (2-3)'!$G$3)</f>
        <v>A</v>
      </c>
      <c r="I246" s="2" t="s">
        <v>85</v>
      </c>
      <c r="J246" s="2" t="str">
        <f t="shared" si="7"/>
        <v>Минина Т. В.</v>
      </c>
      <c r="K246" s="44">
        <v>42658</v>
      </c>
    </row>
    <row r="247" spans="1:11" x14ac:dyDescent="0.25">
      <c r="A247" s="43">
        <v>245</v>
      </c>
      <c r="B247" s="3">
        <v>4</v>
      </c>
      <c r="C247" s="2" t="str">
        <f>VLOOKUP('БАЗА (1)'!B247,'Справочник (2-3)'!$A$3:$B$9,2,FALSE)</f>
        <v>Казань</v>
      </c>
      <c r="D247" s="40">
        <v>42300</v>
      </c>
      <c r="E247" s="2">
        <v>79</v>
      </c>
      <c r="F247" s="9">
        <v>20097</v>
      </c>
      <c r="G247" s="9">
        <f t="shared" si="6"/>
        <v>1587663</v>
      </c>
      <c r="H247" s="2" t="str" cm="1">
        <f t="array" ref="H247">_xlfn.IFS('БАЗА (1)'!G247&gt;10000000,'Справочник (2-3)'!$G$5,AND('БАЗА (1)'!G247&lt;=10000000,'БАЗА (1)'!G247&gt;=5000000),'Справочник (2-3)'!$G$4,'БАЗА (1)'!G247&lt;5000000,'Справочник (2-3)'!$G$3)</f>
        <v>C</v>
      </c>
      <c r="I247" s="2" t="s">
        <v>51</v>
      </c>
      <c r="J247" s="2" t="str">
        <f t="shared" si="7"/>
        <v>Васнин В. В.</v>
      </c>
      <c r="K247" s="44">
        <v>42300</v>
      </c>
    </row>
    <row r="248" spans="1:11" x14ac:dyDescent="0.25">
      <c r="A248" s="43">
        <v>246</v>
      </c>
      <c r="B248" s="3">
        <v>1</v>
      </c>
      <c r="C248" s="2" t="str">
        <f>VLOOKUP('БАЗА (1)'!B248,'Справочник (2-3)'!$A$3:$B$9,2,FALSE)</f>
        <v>Москва</v>
      </c>
      <c r="D248" s="40">
        <v>43090</v>
      </c>
      <c r="E248" s="2">
        <v>144</v>
      </c>
      <c r="F248" s="9">
        <v>38434</v>
      </c>
      <c r="G248" s="9">
        <f t="shared" si="6"/>
        <v>5534496</v>
      </c>
      <c r="H248" s="2" t="str" cm="1">
        <f t="array" ref="H248">_xlfn.IFS('БАЗА (1)'!G248&gt;10000000,'Справочник (2-3)'!$G$5,AND('БАЗА (1)'!G248&lt;=10000000,'БАЗА (1)'!G248&gt;=5000000),'Справочник (2-3)'!$G$4,'БАЗА (1)'!G248&lt;5000000,'Справочник (2-3)'!$G$3)</f>
        <v>B</v>
      </c>
      <c r="I248" s="2" t="s">
        <v>71</v>
      </c>
      <c r="J248" s="2" t="str">
        <f t="shared" si="7"/>
        <v>Клепизонова В. А.</v>
      </c>
      <c r="K248" s="44">
        <v>43090</v>
      </c>
    </row>
    <row r="249" spans="1:11" x14ac:dyDescent="0.25">
      <c r="A249" s="43">
        <v>247</v>
      </c>
      <c r="B249" s="3">
        <v>7</v>
      </c>
      <c r="C249" s="2" t="str">
        <f>VLOOKUP('БАЗА (1)'!B249,'Справочник (2-3)'!$A$3:$B$9,2,FALSE)</f>
        <v>Йошкар-Ола</v>
      </c>
      <c r="D249" s="40">
        <v>41573</v>
      </c>
      <c r="E249" s="2">
        <v>71</v>
      </c>
      <c r="F249" s="9">
        <v>92796</v>
      </c>
      <c r="G249" s="9">
        <f t="shared" si="6"/>
        <v>6588516</v>
      </c>
      <c r="H249" s="2" t="str" cm="1">
        <f t="array" ref="H249">_xlfn.IFS('БАЗА (1)'!G249&gt;10000000,'Справочник (2-3)'!$G$5,AND('БАЗА (1)'!G249&lt;=10000000,'БАЗА (1)'!G249&gt;=5000000),'Справочник (2-3)'!$G$4,'БАЗА (1)'!G249&lt;5000000,'Справочник (2-3)'!$G$3)</f>
        <v>B</v>
      </c>
      <c r="I249" s="2" t="s">
        <v>95</v>
      </c>
      <c r="J249" s="2" t="str">
        <f t="shared" si="7"/>
        <v>Пиканов В. П.</v>
      </c>
      <c r="K249" s="44">
        <v>41573</v>
      </c>
    </row>
    <row r="250" spans="1:11" x14ac:dyDescent="0.25">
      <c r="A250" s="43">
        <v>248</v>
      </c>
      <c r="B250" s="3">
        <v>3</v>
      </c>
      <c r="C250" s="2" t="str">
        <f>VLOOKUP('БАЗА (1)'!B250,'Справочник (2-3)'!$A$3:$B$9,2,FALSE)</f>
        <v>Челябинск</v>
      </c>
      <c r="D250" s="40">
        <v>41602</v>
      </c>
      <c r="E250" s="2">
        <v>106</v>
      </c>
      <c r="F250" s="9">
        <v>59244</v>
      </c>
      <c r="G250" s="9">
        <f t="shared" si="6"/>
        <v>6279864</v>
      </c>
      <c r="H250" s="2" t="str" cm="1">
        <f t="array" ref="H250">_xlfn.IFS('БАЗА (1)'!G250&gt;10000000,'Справочник (2-3)'!$G$5,AND('БАЗА (1)'!G250&lt;=10000000,'БАЗА (1)'!G250&gt;=5000000),'Справочник (2-3)'!$G$4,'БАЗА (1)'!G250&lt;5000000,'Справочник (2-3)'!$G$3)</f>
        <v>B</v>
      </c>
      <c r="I250" s="2" t="s">
        <v>86</v>
      </c>
      <c r="J250" s="2" t="str">
        <f t="shared" si="7"/>
        <v>Неклюдова И. И.</v>
      </c>
      <c r="K250" s="44">
        <v>41602</v>
      </c>
    </row>
    <row r="251" spans="1:11" x14ac:dyDescent="0.25">
      <c r="A251" s="43">
        <v>249</v>
      </c>
      <c r="B251" s="3">
        <v>5</v>
      </c>
      <c r="C251" s="2" t="str">
        <f>VLOOKUP('БАЗА (1)'!B251,'Справочник (2-3)'!$A$3:$B$9,2,FALSE)</f>
        <v>Омск</v>
      </c>
      <c r="D251" s="40">
        <v>41939</v>
      </c>
      <c r="E251" s="2">
        <v>183</v>
      </c>
      <c r="F251" s="9">
        <v>36204</v>
      </c>
      <c r="G251" s="9">
        <f t="shared" si="6"/>
        <v>6625332</v>
      </c>
      <c r="H251" s="2" t="str" cm="1">
        <f t="array" ref="H251">_xlfn.IFS('БАЗА (1)'!G251&gt;10000000,'Справочник (2-3)'!$G$5,AND('БАЗА (1)'!G251&lt;=10000000,'БАЗА (1)'!G251&gt;=5000000),'Справочник (2-3)'!$G$4,'БАЗА (1)'!G251&lt;5000000,'Справочник (2-3)'!$G$3)</f>
        <v>B</v>
      </c>
      <c r="I251" s="2" t="s">
        <v>91</v>
      </c>
      <c r="J251" s="2" t="str">
        <f t="shared" si="7"/>
        <v>Паршакова Т. Л.</v>
      </c>
      <c r="K251" s="44">
        <v>41939</v>
      </c>
    </row>
    <row r="252" spans="1:11" x14ac:dyDescent="0.25">
      <c r="A252" s="43">
        <v>250</v>
      </c>
      <c r="B252" s="3">
        <v>7</v>
      </c>
      <c r="C252" s="2" t="str">
        <f>VLOOKUP('БАЗА (1)'!B252,'Справочник (2-3)'!$A$3:$B$9,2,FALSE)</f>
        <v>Йошкар-Ола</v>
      </c>
      <c r="D252" s="40">
        <v>41565</v>
      </c>
      <c r="E252" s="2">
        <v>143</v>
      </c>
      <c r="F252" s="9">
        <v>57362</v>
      </c>
      <c r="G252" s="9">
        <f t="shared" si="6"/>
        <v>8202766</v>
      </c>
      <c r="H252" s="2" t="str" cm="1">
        <f t="array" ref="H252">_xlfn.IFS('БАЗА (1)'!G252&gt;10000000,'Справочник (2-3)'!$G$5,AND('БАЗА (1)'!G252&lt;=10000000,'БАЗА (1)'!G252&gt;=5000000),'Справочник (2-3)'!$G$4,'БАЗА (1)'!G252&lt;5000000,'Справочник (2-3)'!$G$3)</f>
        <v>B</v>
      </c>
      <c r="I252" s="2" t="s">
        <v>92</v>
      </c>
      <c r="J252" s="2" t="str">
        <f t="shared" si="7"/>
        <v>Патрушева В. В.</v>
      </c>
      <c r="K252" s="44">
        <v>41565</v>
      </c>
    </row>
    <row r="253" spans="1:11" x14ac:dyDescent="0.25">
      <c r="A253" s="43">
        <v>251</v>
      </c>
      <c r="B253" s="3">
        <v>4</v>
      </c>
      <c r="C253" s="2" t="str">
        <f>VLOOKUP('БАЗА (1)'!B253,'Справочник (2-3)'!$A$3:$B$9,2,FALSE)</f>
        <v>Казань</v>
      </c>
      <c r="D253" s="40">
        <v>41634</v>
      </c>
      <c r="E253" s="2">
        <v>161</v>
      </c>
      <c r="F253" s="9">
        <v>91828</v>
      </c>
      <c r="G253" s="9">
        <f t="shared" si="6"/>
        <v>14784308</v>
      </c>
      <c r="H253" s="2" t="str" cm="1">
        <f t="array" ref="H253">_xlfn.IFS('БАЗА (1)'!G253&gt;10000000,'Справочник (2-3)'!$G$5,AND('БАЗА (1)'!G253&lt;=10000000,'БАЗА (1)'!G253&gt;=5000000),'Справочник (2-3)'!$G$4,'БАЗА (1)'!G253&lt;5000000,'Справочник (2-3)'!$G$3)</f>
        <v>A</v>
      </c>
      <c r="I253" s="2" t="s">
        <v>71</v>
      </c>
      <c r="J253" s="2" t="str">
        <f t="shared" si="7"/>
        <v>Клепизонова В. А.</v>
      </c>
      <c r="K253" s="44">
        <v>41634</v>
      </c>
    </row>
    <row r="254" spans="1:11" x14ac:dyDescent="0.25">
      <c r="A254" s="43">
        <v>252</v>
      </c>
      <c r="B254" s="3">
        <v>7</v>
      </c>
      <c r="C254" s="2" t="str">
        <f>VLOOKUP('БАЗА (1)'!B254,'Справочник (2-3)'!$A$3:$B$9,2,FALSE)</f>
        <v>Йошкар-Ола</v>
      </c>
      <c r="D254" s="40">
        <v>42725</v>
      </c>
      <c r="E254" s="2">
        <v>21</v>
      </c>
      <c r="F254" s="9">
        <v>68414</v>
      </c>
      <c r="G254" s="9">
        <f t="shared" si="6"/>
        <v>1436694</v>
      </c>
      <c r="H254" s="2" t="str" cm="1">
        <f t="array" ref="H254">_xlfn.IFS('БАЗА (1)'!G254&gt;10000000,'Справочник (2-3)'!$G$5,AND('БАЗА (1)'!G254&lt;=10000000,'БАЗА (1)'!G254&gt;=5000000),'Справочник (2-3)'!$G$4,'БАЗА (1)'!G254&lt;5000000,'Справочник (2-3)'!$G$3)</f>
        <v>C</v>
      </c>
      <c r="I254" s="2" t="s">
        <v>49</v>
      </c>
      <c r="J254" s="2" t="str">
        <f t="shared" si="7"/>
        <v>Барсукова Ф. А.</v>
      </c>
      <c r="K254" s="44">
        <v>42725</v>
      </c>
    </row>
    <row r="255" spans="1:11" x14ac:dyDescent="0.25">
      <c r="A255" s="43">
        <v>253</v>
      </c>
      <c r="B255" s="3">
        <v>6</v>
      </c>
      <c r="C255" s="2" t="str">
        <f>VLOOKUP('БАЗА (1)'!B255,'Справочник (2-3)'!$A$3:$B$9,2,FALSE)</f>
        <v>Харьков</v>
      </c>
      <c r="D255" s="40">
        <v>41565</v>
      </c>
      <c r="E255" s="2">
        <v>153</v>
      </c>
      <c r="F255" s="9">
        <v>12942</v>
      </c>
      <c r="G255" s="9">
        <f t="shared" si="6"/>
        <v>1980126</v>
      </c>
      <c r="H255" s="2" t="str" cm="1">
        <f t="array" ref="H255">_xlfn.IFS('БАЗА (1)'!G255&gt;10000000,'Справочник (2-3)'!$G$5,AND('БАЗА (1)'!G255&lt;=10000000,'БАЗА (1)'!G255&gt;=5000000),'Справочник (2-3)'!$G$4,'БАЗА (1)'!G255&lt;5000000,'Справочник (2-3)'!$G$3)</f>
        <v>C</v>
      </c>
      <c r="I255" s="2" t="s">
        <v>64</v>
      </c>
      <c r="J255" s="2" t="str">
        <f t="shared" si="7"/>
        <v>Иванов В. Г.</v>
      </c>
      <c r="K255" s="44">
        <v>41565</v>
      </c>
    </row>
    <row r="256" spans="1:11" x14ac:dyDescent="0.25">
      <c r="A256" s="43">
        <v>254</v>
      </c>
      <c r="B256" s="3">
        <v>5</v>
      </c>
      <c r="C256" s="2" t="str">
        <f>VLOOKUP('БАЗА (1)'!B256,'Справочник (2-3)'!$A$3:$B$9,2,FALSE)</f>
        <v>Омск</v>
      </c>
      <c r="D256" s="40">
        <v>42716</v>
      </c>
      <c r="E256" s="2">
        <v>18</v>
      </c>
      <c r="F256" s="9">
        <v>90221</v>
      </c>
      <c r="G256" s="9">
        <f t="shared" si="6"/>
        <v>1623978</v>
      </c>
      <c r="H256" s="2" t="str" cm="1">
        <f t="array" ref="H256">_xlfn.IFS('БАЗА (1)'!G256&gt;10000000,'Справочник (2-3)'!$G$5,AND('БАЗА (1)'!G256&lt;=10000000,'БАЗА (1)'!G256&gt;=5000000),'Справочник (2-3)'!$G$4,'БАЗА (1)'!G256&lt;5000000,'Справочник (2-3)'!$G$3)</f>
        <v>C</v>
      </c>
      <c r="I256" s="2" t="s">
        <v>62</v>
      </c>
      <c r="J256" s="2" t="str">
        <f t="shared" si="7"/>
        <v>Зубова И. М.</v>
      </c>
      <c r="K256" s="44">
        <v>42716</v>
      </c>
    </row>
    <row r="257" spans="1:11" x14ac:dyDescent="0.25">
      <c r="A257" s="43">
        <v>255</v>
      </c>
      <c r="B257" s="3">
        <v>3</v>
      </c>
      <c r="C257" s="2" t="str">
        <f>VLOOKUP('БАЗА (1)'!B257,'Справочник (2-3)'!$A$3:$B$9,2,FALSE)</f>
        <v>Челябинск</v>
      </c>
      <c r="D257" s="40">
        <v>42295</v>
      </c>
      <c r="E257" s="2">
        <v>181</v>
      </c>
      <c r="F257" s="9">
        <v>18180</v>
      </c>
      <c r="G257" s="9">
        <f t="shared" si="6"/>
        <v>3290580</v>
      </c>
      <c r="H257" s="2" t="str" cm="1">
        <f t="array" ref="H257">_xlfn.IFS('БАЗА (1)'!G257&gt;10000000,'Справочник (2-3)'!$G$5,AND('БАЗА (1)'!G257&lt;=10000000,'БАЗА (1)'!G257&gt;=5000000),'Справочник (2-3)'!$G$4,'БАЗА (1)'!G257&lt;5000000,'Справочник (2-3)'!$G$3)</f>
        <v>C</v>
      </c>
      <c r="I257" s="2" t="s">
        <v>69</v>
      </c>
      <c r="J257" s="2" t="str">
        <f t="shared" si="7"/>
        <v>Каскеева Е. А.</v>
      </c>
      <c r="K257" s="44">
        <v>42295</v>
      </c>
    </row>
    <row r="258" spans="1:11" x14ac:dyDescent="0.25">
      <c r="A258" s="43">
        <v>256</v>
      </c>
      <c r="B258" s="3">
        <v>1</v>
      </c>
      <c r="C258" s="2" t="str">
        <f>VLOOKUP('БАЗА (1)'!B258,'Справочник (2-3)'!$A$3:$B$9,2,FALSE)</f>
        <v>Москва</v>
      </c>
      <c r="D258" s="40">
        <v>42349</v>
      </c>
      <c r="E258" s="2">
        <v>36</v>
      </c>
      <c r="F258" s="9">
        <v>51338</v>
      </c>
      <c r="G258" s="9">
        <f t="shared" si="6"/>
        <v>1848168</v>
      </c>
      <c r="H258" s="2" t="str" cm="1">
        <f t="array" ref="H258">_xlfn.IFS('БАЗА (1)'!G258&gt;10000000,'Справочник (2-3)'!$G$5,AND('БАЗА (1)'!G258&lt;=10000000,'БАЗА (1)'!G258&gt;=5000000),'Справочник (2-3)'!$G$4,'БАЗА (1)'!G258&lt;5000000,'Справочник (2-3)'!$G$3)</f>
        <v>C</v>
      </c>
      <c r="I258" s="2" t="s">
        <v>85</v>
      </c>
      <c r="J258" s="2" t="str">
        <f t="shared" si="7"/>
        <v>Минина Т. В.</v>
      </c>
      <c r="K258" s="44">
        <v>42349</v>
      </c>
    </row>
    <row r="259" spans="1:11" x14ac:dyDescent="0.25">
      <c r="A259" s="43">
        <v>257</v>
      </c>
      <c r="B259" s="3">
        <v>2</v>
      </c>
      <c r="C259" s="2" t="str">
        <f>VLOOKUP('БАЗА (1)'!B259,'Справочник (2-3)'!$A$3:$B$9,2,FALSE)</f>
        <v>Санкт-Петербург</v>
      </c>
      <c r="D259" s="40">
        <v>42697</v>
      </c>
      <c r="E259" s="2">
        <v>161</v>
      </c>
      <c r="F259" s="9">
        <v>12008</v>
      </c>
      <c r="G259" s="9">
        <f t="shared" si="6"/>
        <v>1933288</v>
      </c>
      <c r="H259" s="2" t="str" cm="1">
        <f t="array" ref="H259">_xlfn.IFS('БАЗА (1)'!G259&gt;10000000,'Справочник (2-3)'!$G$5,AND('БАЗА (1)'!G259&lt;=10000000,'БАЗА (1)'!G259&gt;=5000000),'Справочник (2-3)'!$G$4,'БАЗА (1)'!G259&lt;5000000,'Справочник (2-3)'!$G$3)</f>
        <v>C</v>
      </c>
      <c r="I259" s="2" t="s">
        <v>63</v>
      </c>
      <c r="J259" s="2" t="str">
        <f t="shared" si="7"/>
        <v>Зуева Е. Ю.</v>
      </c>
      <c r="K259" s="44">
        <v>42697</v>
      </c>
    </row>
    <row r="260" spans="1:11" x14ac:dyDescent="0.25">
      <c r="A260" s="43">
        <v>258</v>
      </c>
      <c r="B260" s="3">
        <v>4</v>
      </c>
      <c r="C260" s="2" t="str">
        <f>VLOOKUP('БАЗА (1)'!B260,'Справочник (2-3)'!$A$3:$B$9,2,FALSE)</f>
        <v>Казань</v>
      </c>
      <c r="D260" s="40">
        <v>42657</v>
      </c>
      <c r="E260" s="2">
        <v>27</v>
      </c>
      <c r="F260" s="9">
        <v>3629</v>
      </c>
      <c r="G260" s="9">
        <f t="shared" ref="G260:G323" si="8">E260*F260</f>
        <v>97983</v>
      </c>
      <c r="H260" s="2" t="str" cm="1">
        <f t="array" ref="H260">_xlfn.IFS('БАЗА (1)'!G260&gt;10000000,'Справочник (2-3)'!$G$5,AND('БАЗА (1)'!G260&lt;=10000000,'БАЗА (1)'!G260&gt;=5000000),'Справочник (2-3)'!$G$4,'БАЗА (1)'!G260&lt;5000000,'Справочник (2-3)'!$G$3)</f>
        <v>C</v>
      </c>
      <c r="I260" s="2" t="s">
        <v>75</v>
      </c>
      <c r="J260" s="2" t="str">
        <f t="shared" ref="J260:J323" si="9">LEFT(I260,FIND(" ",I260)-1)&amp;" "&amp;LEFT(MID(I260,FIND(" ",I260)+1,LEN(I260)),1)&amp;". "&amp;LEFT(MID(I260,FIND(" ",I260,FIND(" ",I260)+1)+1,LEN(I260)),1)&amp;"."</f>
        <v>Крапивина Л. В.</v>
      </c>
      <c r="K260" s="44">
        <v>42657</v>
      </c>
    </row>
    <row r="261" spans="1:11" x14ac:dyDescent="0.25">
      <c r="A261" s="43">
        <v>259</v>
      </c>
      <c r="B261" s="3">
        <v>6</v>
      </c>
      <c r="C261" s="2" t="str">
        <f>VLOOKUP('БАЗА (1)'!B261,'Справочник (2-3)'!$A$3:$B$9,2,FALSE)</f>
        <v>Харьков</v>
      </c>
      <c r="D261" s="40">
        <v>42322</v>
      </c>
      <c r="E261" s="2">
        <v>82</v>
      </c>
      <c r="F261" s="9">
        <v>22663</v>
      </c>
      <c r="G261" s="9">
        <f t="shared" si="8"/>
        <v>1858366</v>
      </c>
      <c r="H261" s="2" t="str" cm="1">
        <f t="array" ref="H261">_xlfn.IFS('БАЗА (1)'!G261&gt;10000000,'Справочник (2-3)'!$G$5,AND('БАЗА (1)'!G261&lt;=10000000,'БАЗА (1)'!G261&gt;=5000000),'Справочник (2-3)'!$G$4,'БАЗА (1)'!G261&lt;5000000,'Справочник (2-3)'!$G$3)</f>
        <v>C</v>
      </c>
      <c r="I261" s="2" t="s">
        <v>46</v>
      </c>
      <c r="J261" s="2" t="str">
        <f t="shared" si="9"/>
        <v>Анфалова Л. Р.</v>
      </c>
      <c r="K261" s="44">
        <v>42322</v>
      </c>
    </row>
    <row r="262" spans="1:11" x14ac:dyDescent="0.25">
      <c r="A262" s="43">
        <v>260</v>
      </c>
      <c r="B262" s="3">
        <v>5</v>
      </c>
      <c r="C262" s="2" t="str">
        <f>VLOOKUP('БАЗА (1)'!B262,'Справочник (2-3)'!$A$3:$B$9,2,FALSE)</f>
        <v>Омск</v>
      </c>
      <c r="D262" s="40">
        <v>42723</v>
      </c>
      <c r="E262" s="2">
        <v>83</v>
      </c>
      <c r="F262" s="9">
        <v>76513</v>
      </c>
      <c r="G262" s="9">
        <f t="shared" si="8"/>
        <v>6350579</v>
      </c>
      <c r="H262" s="2" t="str" cm="1">
        <f t="array" ref="H262">_xlfn.IFS('БАЗА (1)'!G262&gt;10000000,'Справочник (2-3)'!$G$5,AND('БАЗА (1)'!G262&lt;=10000000,'БАЗА (1)'!G262&gt;=5000000),'Справочник (2-3)'!$G$4,'БАЗА (1)'!G262&lt;5000000,'Справочник (2-3)'!$G$3)</f>
        <v>B</v>
      </c>
      <c r="I262" s="2" t="s">
        <v>97</v>
      </c>
      <c r="J262" s="2" t="str">
        <f t="shared" si="9"/>
        <v>Пономарева С. В.</v>
      </c>
      <c r="K262" s="44">
        <v>42723</v>
      </c>
    </row>
    <row r="263" spans="1:11" x14ac:dyDescent="0.25">
      <c r="A263" s="43">
        <v>261</v>
      </c>
      <c r="B263" s="3">
        <v>2</v>
      </c>
      <c r="C263" s="2" t="str">
        <f>VLOOKUP('БАЗА (1)'!B263,'Справочник (2-3)'!$A$3:$B$9,2,FALSE)</f>
        <v>Санкт-Петербург</v>
      </c>
      <c r="D263" s="40">
        <v>41956</v>
      </c>
      <c r="E263" s="2">
        <v>27</v>
      </c>
      <c r="F263" s="9">
        <v>94098</v>
      </c>
      <c r="G263" s="9">
        <f t="shared" si="8"/>
        <v>2540646</v>
      </c>
      <c r="H263" s="2" t="str" cm="1">
        <f t="array" ref="H263">_xlfn.IFS('БАЗА (1)'!G263&gt;10000000,'Справочник (2-3)'!$G$5,AND('БАЗА (1)'!G263&lt;=10000000,'БАЗА (1)'!G263&gt;=5000000),'Справочник (2-3)'!$G$4,'БАЗА (1)'!G263&lt;5000000,'Справочник (2-3)'!$G$3)</f>
        <v>C</v>
      </c>
      <c r="I263" s="2" t="s">
        <v>66</v>
      </c>
      <c r="J263" s="2" t="str">
        <f t="shared" si="9"/>
        <v>Ильина Т. Н.</v>
      </c>
      <c r="K263" s="44">
        <v>41956</v>
      </c>
    </row>
    <row r="264" spans="1:11" x14ac:dyDescent="0.25">
      <c r="A264" s="43">
        <v>262</v>
      </c>
      <c r="B264" s="3">
        <v>1</v>
      </c>
      <c r="C264" s="2" t="str">
        <f>VLOOKUP('БАЗА (1)'!B264,'Справочник (2-3)'!$A$3:$B$9,2,FALSE)</f>
        <v>Москва</v>
      </c>
      <c r="D264" s="40">
        <v>42298</v>
      </c>
      <c r="E264" s="2">
        <v>80</v>
      </c>
      <c r="F264" s="9">
        <v>3939</v>
      </c>
      <c r="G264" s="9">
        <f t="shared" si="8"/>
        <v>315120</v>
      </c>
      <c r="H264" s="2" t="str" cm="1">
        <f t="array" ref="H264">_xlfn.IFS('БАЗА (1)'!G264&gt;10000000,'Справочник (2-3)'!$G$5,AND('БАЗА (1)'!G264&lt;=10000000,'БАЗА (1)'!G264&gt;=5000000),'Справочник (2-3)'!$G$4,'БАЗА (1)'!G264&lt;5000000,'Справочник (2-3)'!$G$3)</f>
        <v>C</v>
      </c>
      <c r="I264" s="2" t="s">
        <v>81</v>
      </c>
      <c r="J264" s="2" t="str">
        <f t="shared" si="9"/>
        <v>Мамаева О. Ю.</v>
      </c>
      <c r="K264" s="44">
        <v>42298</v>
      </c>
    </row>
    <row r="265" spans="1:11" x14ac:dyDescent="0.25">
      <c r="A265" s="43">
        <v>263</v>
      </c>
      <c r="B265" s="3">
        <v>7</v>
      </c>
      <c r="C265" s="2" t="str">
        <f>VLOOKUP('БАЗА (1)'!B265,'Справочник (2-3)'!$A$3:$B$9,2,FALSE)</f>
        <v>Йошкар-Ола</v>
      </c>
      <c r="D265" s="40">
        <v>41598</v>
      </c>
      <c r="E265" s="2">
        <v>197</v>
      </c>
      <c r="F265" s="9">
        <v>64903</v>
      </c>
      <c r="G265" s="9">
        <f t="shared" si="8"/>
        <v>12785891</v>
      </c>
      <c r="H265" s="2" t="str" cm="1">
        <f t="array" ref="H265">_xlfn.IFS('БАЗА (1)'!G265&gt;10000000,'Справочник (2-3)'!$G$5,AND('БАЗА (1)'!G265&lt;=10000000,'БАЗА (1)'!G265&gt;=5000000),'Справочник (2-3)'!$G$4,'БАЗА (1)'!G265&lt;5000000,'Справочник (2-3)'!$G$3)</f>
        <v>A</v>
      </c>
      <c r="I265" s="2" t="s">
        <v>77</v>
      </c>
      <c r="J265" s="2" t="str">
        <f t="shared" si="9"/>
        <v>Лоскутова М. В.</v>
      </c>
      <c r="K265" s="44">
        <v>41598</v>
      </c>
    </row>
    <row r="266" spans="1:11" x14ac:dyDescent="0.25">
      <c r="A266" s="43">
        <v>264</v>
      </c>
      <c r="B266" s="3">
        <v>7</v>
      </c>
      <c r="C266" s="2" t="str">
        <f>VLOOKUP('БАЗА (1)'!B266,'Справочник (2-3)'!$A$3:$B$9,2,FALSE)</f>
        <v>Йошкар-Ола</v>
      </c>
      <c r="D266" s="40">
        <v>41999</v>
      </c>
      <c r="E266" s="2">
        <v>92</v>
      </c>
      <c r="F266" s="9">
        <v>85510</v>
      </c>
      <c r="G266" s="9">
        <f t="shared" si="8"/>
        <v>7866920</v>
      </c>
      <c r="H266" s="2" t="str" cm="1">
        <f t="array" ref="H266">_xlfn.IFS('БАЗА (1)'!G266&gt;10000000,'Справочник (2-3)'!$G$5,AND('БАЗА (1)'!G266&lt;=10000000,'БАЗА (1)'!G266&gt;=5000000),'Справочник (2-3)'!$G$4,'БАЗА (1)'!G266&lt;5000000,'Справочник (2-3)'!$G$3)</f>
        <v>B</v>
      </c>
      <c r="I266" s="2" t="s">
        <v>75</v>
      </c>
      <c r="J266" s="2" t="str">
        <f t="shared" si="9"/>
        <v>Крапивина Л. В.</v>
      </c>
      <c r="K266" s="44">
        <v>41999</v>
      </c>
    </row>
    <row r="267" spans="1:11" x14ac:dyDescent="0.25">
      <c r="A267" s="43">
        <v>265</v>
      </c>
      <c r="B267" s="3">
        <v>6</v>
      </c>
      <c r="C267" s="2" t="str">
        <f>VLOOKUP('БАЗА (1)'!B267,'Справочник (2-3)'!$A$3:$B$9,2,FALSE)</f>
        <v>Харьков</v>
      </c>
      <c r="D267" s="40">
        <v>43018</v>
      </c>
      <c r="E267" s="2">
        <v>120</v>
      </c>
      <c r="F267" s="9">
        <v>33387</v>
      </c>
      <c r="G267" s="9">
        <f t="shared" si="8"/>
        <v>4006440</v>
      </c>
      <c r="H267" s="2" t="str" cm="1">
        <f t="array" ref="H267">_xlfn.IFS('БАЗА (1)'!G267&gt;10000000,'Справочник (2-3)'!$G$5,AND('БАЗА (1)'!G267&lt;=10000000,'БАЗА (1)'!G267&gt;=5000000),'Справочник (2-3)'!$G$4,'БАЗА (1)'!G267&lt;5000000,'Справочник (2-3)'!$G$3)</f>
        <v>C</v>
      </c>
      <c r="I267" s="2" t="s">
        <v>74</v>
      </c>
      <c r="J267" s="2" t="str">
        <f t="shared" si="9"/>
        <v>Косикова Е. А.</v>
      </c>
      <c r="K267" s="44">
        <v>43018</v>
      </c>
    </row>
    <row r="268" spans="1:11" x14ac:dyDescent="0.25">
      <c r="A268" s="43">
        <v>266</v>
      </c>
      <c r="B268" s="3">
        <v>7</v>
      </c>
      <c r="C268" s="2" t="str">
        <f>VLOOKUP('БАЗА (1)'!B268,'Справочник (2-3)'!$A$3:$B$9,2,FALSE)</f>
        <v>Йошкар-Ола</v>
      </c>
      <c r="D268" s="40">
        <v>42669</v>
      </c>
      <c r="E268" s="2">
        <v>96</v>
      </c>
      <c r="F268" s="9">
        <v>61430</v>
      </c>
      <c r="G268" s="9">
        <f t="shared" si="8"/>
        <v>5897280</v>
      </c>
      <c r="H268" s="2" t="str" cm="1">
        <f t="array" ref="H268">_xlfn.IFS('БАЗА (1)'!G268&gt;10000000,'Справочник (2-3)'!$G$5,AND('БАЗА (1)'!G268&lt;=10000000,'БАЗА (1)'!G268&gt;=5000000),'Справочник (2-3)'!$G$4,'БАЗА (1)'!G268&lt;5000000,'Справочник (2-3)'!$G$3)</f>
        <v>B</v>
      </c>
      <c r="I268" s="2" t="s">
        <v>93</v>
      </c>
      <c r="J268" s="2" t="str">
        <f t="shared" si="9"/>
        <v>Пермякова О. А.</v>
      </c>
      <c r="K268" s="44">
        <v>42669</v>
      </c>
    </row>
    <row r="269" spans="1:11" x14ac:dyDescent="0.25">
      <c r="A269" s="43">
        <v>267</v>
      </c>
      <c r="B269" s="3">
        <v>4</v>
      </c>
      <c r="C269" s="2" t="str">
        <f>VLOOKUP('БАЗА (1)'!B269,'Справочник (2-3)'!$A$3:$B$9,2,FALSE)</f>
        <v>Казань</v>
      </c>
      <c r="D269" s="40">
        <v>43096</v>
      </c>
      <c r="E269" s="2">
        <v>13</v>
      </c>
      <c r="F269" s="9">
        <v>32974</v>
      </c>
      <c r="G269" s="9">
        <f t="shared" si="8"/>
        <v>428662</v>
      </c>
      <c r="H269" s="2" t="str" cm="1">
        <f t="array" ref="H269">_xlfn.IFS('БАЗА (1)'!G269&gt;10000000,'Справочник (2-3)'!$G$5,AND('БАЗА (1)'!G269&lt;=10000000,'БАЗА (1)'!G269&gt;=5000000),'Справочник (2-3)'!$G$4,'БАЗА (1)'!G269&lt;5000000,'Справочник (2-3)'!$G$3)</f>
        <v>C</v>
      </c>
      <c r="I269" s="2" t="s">
        <v>49</v>
      </c>
      <c r="J269" s="2" t="str">
        <f t="shared" si="9"/>
        <v>Барсукова Ф. А.</v>
      </c>
      <c r="K269" s="44">
        <v>43096</v>
      </c>
    </row>
    <row r="270" spans="1:11" x14ac:dyDescent="0.25">
      <c r="A270" s="43">
        <v>268</v>
      </c>
      <c r="B270" s="3">
        <v>4</v>
      </c>
      <c r="C270" s="2" t="str">
        <f>VLOOKUP('БАЗА (1)'!B270,'Справочник (2-3)'!$A$3:$B$9,2,FALSE)</f>
        <v>Казань</v>
      </c>
      <c r="D270" s="40">
        <v>41934</v>
      </c>
      <c r="E270" s="2">
        <v>57</v>
      </c>
      <c r="F270" s="9">
        <v>13944</v>
      </c>
      <c r="G270" s="9">
        <f t="shared" si="8"/>
        <v>794808</v>
      </c>
      <c r="H270" s="2" t="str" cm="1">
        <f t="array" ref="H270">_xlfn.IFS('БАЗА (1)'!G270&gt;10000000,'Справочник (2-3)'!$G$5,AND('БАЗА (1)'!G270&lt;=10000000,'БАЗА (1)'!G270&gt;=5000000),'Справочник (2-3)'!$G$4,'БАЗА (1)'!G270&lt;5000000,'Справочник (2-3)'!$G$3)</f>
        <v>C</v>
      </c>
      <c r="I270" s="2" t="s">
        <v>98</v>
      </c>
      <c r="J270" s="2" t="str">
        <f t="shared" si="9"/>
        <v>Попова А. А.</v>
      </c>
      <c r="K270" s="44">
        <v>41934</v>
      </c>
    </row>
    <row r="271" spans="1:11" x14ac:dyDescent="0.25">
      <c r="A271" s="43">
        <v>269</v>
      </c>
      <c r="B271" s="3">
        <v>2</v>
      </c>
      <c r="C271" s="2" t="str">
        <f>VLOOKUP('БАЗА (1)'!B271,'Справочник (2-3)'!$A$3:$B$9,2,FALSE)</f>
        <v>Санкт-Петербург</v>
      </c>
      <c r="D271" s="40">
        <v>41990</v>
      </c>
      <c r="E271" s="2">
        <v>113</v>
      </c>
      <c r="F271" s="9">
        <v>34992</v>
      </c>
      <c r="G271" s="9">
        <f t="shared" si="8"/>
        <v>3954096</v>
      </c>
      <c r="H271" s="2" t="str" cm="1">
        <f t="array" ref="H271">_xlfn.IFS('БАЗА (1)'!G271&gt;10000000,'Справочник (2-3)'!$G$5,AND('БАЗА (1)'!G271&lt;=10000000,'БАЗА (1)'!G271&gt;=5000000),'Справочник (2-3)'!$G$4,'БАЗА (1)'!G271&lt;5000000,'Справочник (2-3)'!$G$3)</f>
        <v>C</v>
      </c>
      <c r="I271" s="2" t="s">
        <v>97</v>
      </c>
      <c r="J271" s="2" t="str">
        <f t="shared" si="9"/>
        <v>Пономарева С. В.</v>
      </c>
      <c r="K271" s="44">
        <v>41990</v>
      </c>
    </row>
    <row r="272" spans="1:11" x14ac:dyDescent="0.25">
      <c r="A272" s="43">
        <v>270</v>
      </c>
      <c r="B272" s="3">
        <v>1</v>
      </c>
      <c r="C272" s="2" t="str">
        <f>VLOOKUP('БАЗА (1)'!B272,'Справочник (2-3)'!$A$3:$B$9,2,FALSE)</f>
        <v>Москва</v>
      </c>
      <c r="D272" s="40">
        <v>41572</v>
      </c>
      <c r="E272" s="2">
        <v>71</v>
      </c>
      <c r="F272" s="9">
        <v>19525</v>
      </c>
      <c r="G272" s="9">
        <f t="shared" si="8"/>
        <v>1386275</v>
      </c>
      <c r="H272" s="2" t="str" cm="1">
        <f t="array" ref="H272">_xlfn.IFS('БАЗА (1)'!G272&gt;10000000,'Справочник (2-3)'!$G$5,AND('БАЗА (1)'!G272&lt;=10000000,'БАЗА (1)'!G272&gt;=5000000),'Справочник (2-3)'!$G$4,'БАЗА (1)'!G272&lt;5000000,'Справочник (2-3)'!$G$3)</f>
        <v>C</v>
      </c>
      <c r="I272" s="2" t="s">
        <v>90</v>
      </c>
      <c r="J272" s="2" t="str">
        <f t="shared" si="9"/>
        <v>Павлова Н. И.</v>
      </c>
      <c r="K272" s="44">
        <v>41572</v>
      </c>
    </row>
    <row r="273" spans="1:11" x14ac:dyDescent="0.25">
      <c r="A273" s="43">
        <v>271</v>
      </c>
      <c r="B273" s="3">
        <v>6</v>
      </c>
      <c r="C273" s="2" t="str">
        <f>VLOOKUP('БАЗА (1)'!B273,'Справочник (2-3)'!$A$3:$B$9,2,FALSE)</f>
        <v>Харьков</v>
      </c>
      <c r="D273" s="40">
        <v>42294</v>
      </c>
      <c r="E273" s="2">
        <v>120</v>
      </c>
      <c r="F273" s="9">
        <v>48261</v>
      </c>
      <c r="G273" s="9">
        <f t="shared" si="8"/>
        <v>5791320</v>
      </c>
      <c r="H273" s="2" t="str" cm="1">
        <f t="array" ref="H273">_xlfn.IFS('БАЗА (1)'!G273&gt;10000000,'Справочник (2-3)'!$G$5,AND('БАЗА (1)'!G273&lt;=10000000,'БАЗА (1)'!G273&gt;=5000000),'Справочник (2-3)'!$G$4,'БАЗА (1)'!G273&lt;5000000,'Справочник (2-3)'!$G$3)</f>
        <v>B</v>
      </c>
      <c r="I273" s="2" t="s">
        <v>91</v>
      </c>
      <c r="J273" s="2" t="str">
        <f t="shared" si="9"/>
        <v>Паршакова Т. Л.</v>
      </c>
      <c r="K273" s="44">
        <v>42294</v>
      </c>
    </row>
    <row r="274" spans="1:11" x14ac:dyDescent="0.25">
      <c r="A274" s="43">
        <v>272</v>
      </c>
      <c r="B274" s="3">
        <v>7</v>
      </c>
      <c r="C274" s="2" t="str">
        <f>VLOOKUP('БАЗА (1)'!B274,'Справочник (2-3)'!$A$3:$B$9,2,FALSE)</f>
        <v>Йошкар-Ола</v>
      </c>
      <c r="D274" s="40">
        <v>42720</v>
      </c>
      <c r="E274" s="2">
        <v>177</v>
      </c>
      <c r="F274" s="9">
        <v>72549</v>
      </c>
      <c r="G274" s="9">
        <f t="shared" si="8"/>
        <v>12841173</v>
      </c>
      <c r="H274" s="2" t="str" cm="1">
        <f t="array" ref="H274">_xlfn.IFS('БАЗА (1)'!G274&gt;10000000,'Справочник (2-3)'!$G$5,AND('БАЗА (1)'!G274&lt;=10000000,'БАЗА (1)'!G274&gt;=5000000),'Справочник (2-3)'!$G$4,'БАЗА (1)'!G274&lt;5000000,'Справочник (2-3)'!$G$3)</f>
        <v>A</v>
      </c>
      <c r="I274" s="2" t="s">
        <v>71</v>
      </c>
      <c r="J274" s="2" t="str">
        <f t="shared" si="9"/>
        <v>Клепизонова В. А.</v>
      </c>
      <c r="K274" s="44">
        <v>42720</v>
      </c>
    </row>
    <row r="275" spans="1:11" x14ac:dyDescent="0.25">
      <c r="A275" s="43">
        <v>273</v>
      </c>
      <c r="B275" s="3">
        <v>6</v>
      </c>
      <c r="C275" s="2" t="str">
        <f>VLOOKUP('БАЗА (1)'!B275,'Справочник (2-3)'!$A$3:$B$9,2,FALSE)</f>
        <v>Харьков</v>
      </c>
      <c r="D275" s="40">
        <v>41568</v>
      </c>
      <c r="E275" s="2">
        <v>167</v>
      </c>
      <c r="F275" s="9">
        <v>12116</v>
      </c>
      <c r="G275" s="9">
        <f t="shared" si="8"/>
        <v>2023372</v>
      </c>
      <c r="H275" s="2" t="str" cm="1">
        <f t="array" ref="H275">_xlfn.IFS('БАЗА (1)'!G275&gt;10000000,'Справочник (2-3)'!$G$5,AND('БАЗА (1)'!G275&lt;=10000000,'БАЗА (1)'!G275&gt;=5000000),'Справочник (2-3)'!$G$4,'БАЗА (1)'!G275&lt;5000000,'Справочник (2-3)'!$G$3)</f>
        <v>C</v>
      </c>
      <c r="I275" s="2" t="s">
        <v>46</v>
      </c>
      <c r="J275" s="2" t="str">
        <f t="shared" si="9"/>
        <v>Анфалова Л. Р.</v>
      </c>
      <c r="K275" s="44">
        <v>41568</v>
      </c>
    </row>
    <row r="276" spans="1:11" x14ac:dyDescent="0.25">
      <c r="A276" s="43">
        <v>274</v>
      </c>
      <c r="B276" s="3">
        <v>4</v>
      </c>
      <c r="C276" s="2" t="str">
        <f>VLOOKUP('БАЗА (1)'!B276,'Справочник (2-3)'!$A$3:$B$9,2,FALSE)</f>
        <v>Казань</v>
      </c>
      <c r="D276" s="40">
        <v>41955</v>
      </c>
      <c r="E276" s="2">
        <v>52</v>
      </c>
      <c r="F276" s="9">
        <v>98904</v>
      </c>
      <c r="G276" s="9">
        <f t="shared" si="8"/>
        <v>5143008</v>
      </c>
      <c r="H276" s="2" t="str" cm="1">
        <f t="array" ref="H276">_xlfn.IFS('БАЗА (1)'!G276&gt;10000000,'Справочник (2-3)'!$G$5,AND('БАЗА (1)'!G276&lt;=10000000,'БАЗА (1)'!G276&gt;=5000000),'Справочник (2-3)'!$G$4,'БАЗА (1)'!G276&lt;5000000,'Справочник (2-3)'!$G$3)</f>
        <v>B</v>
      </c>
      <c r="I276" s="2" t="s">
        <v>48</v>
      </c>
      <c r="J276" s="2" t="str">
        <f t="shared" si="9"/>
        <v>Бармина Ю. А.</v>
      </c>
      <c r="K276" s="44">
        <v>41955</v>
      </c>
    </row>
    <row r="277" spans="1:11" x14ac:dyDescent="0.25">
      <c r="A277" s="43">
        <v>275</v>
      </c>
      <c r="B277" s="3">
        <v>4</v>
      </c>
      <c r="C277" s="2" t="str">
        <f>VLOOKUP('БАЗА (1)'!B277,'Справочник (2-3)'!$A$3:$B$9,2,FALSE)</f>
        <v>Казань</v>
      </c>
      <c r="D277" s="40">
        <v>42288</v>
      </c>
      <c r="E277" s="2">
        <v>70</v>
      </c>
      <c r="F277" s="9">
        <v>44203</v>
      </c>
      <c r="G277" s="9">
        <f t="shared" si="8"/>
        <v>3094210</v>
      </c>
      <c r="H277" s="2" t="str" cm="1">
        <f t="array" ref="H277">_xlfn.IFS('БАЗА (1)'!G277&gt;10000000,'Справочник (2-3)'!$G$5,AND('БАЗА (1)'!G277&lt;=10000000,'БАЗА (1)'!G277&gt;=5000000),'Справочник (2-3)'!$G$4,'БАЗА (1)'!G277&lt;5000000,'Справочник (2-3)'!$G$3)</f>
        <v>C</v>
      </c>
      <c r="I277" s="2" t="s">
        <v>75</v>
      </c>
      <c r="J277" s="2" t="str">
        <f t="shared" si="9"/>
        <v>Крапивина Л. В.</v>
      </c>
      <c r="K277" s="44">
        <v>42288</v>
      </c>
    </row>
    <row r="278" spans="1:11" x14ac:dyDescent="0.25">
      <c r="A278" s="43">
        <v>276</v>
      </c>
      <c r="B278" s="3">
        <v>5</v>
      </c>
      <c r="C278" s="2" t="str">
        <f>VLOOKUP('БАЗА (1)'!B278,'Справочник (2-3)'!$A$3:$B$9,2,FALSE)</f>
        <v>Омск</v>
      </c>
      <c r="D278" s="40">
        <v>42685</v>
      </c>
      <c r="E278" s="2">
        <v>28</v>
      </c>
      <c r="F278" s="9">
        <v>64360</v>
      </c>
      <c r="G278" s="9">
        <f t="shared" si="8"/>
        <v>1802080</v>
      </c>
      <c r="H278" s="2" t="str" cm="1">
        <f t="array" ref="H278">_xlfn.IFS('БАЗА (1)'!G278&gt;10000000,'Справочник (2-3)'!$G$5,AND('БАЗА (1)'!G278&lt;=10000000,'БАЗА (1)'!G278&gt;=5000000),'Справочник (2-3)'!$G$4,'БАЗА (1)'!G278&lt;5000000,'Справочник (2-3)'!$G$3)</f>
        <v>C</v>
      </c>
      <c r="I278" s="2" t="s">
        <v>93</v>
      </c>
      <c r="J278" s="2" t="str">
        <f t="shared" si="9"/>
        <v>Пермякова О. А.</v>
      </c>
      <c r="K278" s="44">
        <v>42685</v>
      </c>
    </row>
    <row r="279" spans="1:11" x14ac:dyDescent="0.25">
      <c r="A279" s="43">
        <v>277</v>
      </c>
      <c r="B279" s="3">
        <v>1</v>
      </c>
      <c r="C279" s="2" t="str">
        <f>VLOOKUP('БАЗА (1)'!B279,'Справочник (2-3)'!$A$3:$B$9,2,FALSE)</f>
        <v>Москва</v>
      </c>
      <c r="D279" s="40">
        <v>42686</v>
      </c>
      <c r="E279" s="2">
        <v>97</v>
      </c>
      <c r="F279" s="9">
        <v>15912</v>
      </c>
      <c r="G279" s="9">
        <f t="shared" si="8"/>
        <v>1543464</v>
      </c>
      <c r="H279" s="2" t="str" cm="1">
        <f t="array" ref="H279">_xlfn.IFS('БАЗА (1)'!G279&gt;10000000,'Справочник (2-3)'!$G$5,AND('БАЗА (1)'!G279&lt;=10000000,'БАЗА (1)'!G279&gt;=5000000),'Справочник (2-3)'!$G$4,'БАЗА (1)'!G279&lt;5000000,'Справочник (2-3)'!$G$3)</f>
        <v>C</v>
      </c>
      <c r="I279" s="2" t="s">
        <v>73</v>
      </c>
      <c r="J279" s="2" t="str">
        <f t="shared" si="9"/>
        <v>Королев А. М.</v>
      </c>
      <c r="K279" s="44">
        <v>42686</v>
      </c>
    </row>
    <row r="280" spans="1:11" x14ac:dyDescent="0.25">
      <c r="A280" s="43">
        <v>278</v>
      </c>
      <c r="B280" s="3">
        <v>1</v>
      </c>
      <c r="C280" s="2" t="str">
        <f>VLOOKUP('БАЗА (1)'!B280,'Справочник (2-3)'!$A$3:$B$9,2,FALSE)</f>
        <v>Москва</v>
      </c>
      <c r="D280" s="40">
        <v>41957</v>
      </c>
      <c r="E280" s="2">
        <v>192</v>
      </c>
      <c r="F280" s="9">
        <v>75174</v>
      </c>
      <c r="G280" s="9">
        <f t="shared" si="8"/>
        <v>14433408</v>
      </c>
      <c r="H280" s="2" t="str" cm="1">
        <f t="array" ref="H280">_xlfn.IFS('БАЗА (1)'!G280&gt;10000000,'Справочник (2-3)'!$G$5,AND('БАЗА (1)'!G280&lt;=10000000,'БАЗА (1)'!G280&gt;=5000000),'Справочник (2-3)'!$G$4,'БАЗА (1)'!G280&lt;5000000,'Справочник (2-3)'!$G$3)</f>
        <v>A</v>
      </c>
      <c r="I280" s="2" t="s">
        <v>98</v>
      </c>
      <c r="J280" s="2" t="str">
        <f t="shared" si="9"/>
        <v>Попова А. А.</v>
      </c>
      <c r="K280" s="44">
        <v>41957</v>
      </c>
    </row>
    <row r="281" spans="1:11" x14ac:dyDescent="0.25">
      <c r="A281" s="43">
        <v>279</v>
      </c>
      <c r="B281" s="3">
        <v>5</v>
      </c>
      <c r="C281" s="2" t="str">
        <f>VLOOKUP('БАЗА (1)'!B281,'Справочник (2-3)'!$A$3:$B$9,2,FALSE)</f>
        <v>Омск</v>
      </c>
      <c r="D281" s="40">
        <v>42001</v>
      </c>
      <c r="E281" s="2">
        <v>43</v>
      </c>
      <c r="F281" s="9">
        <v>29259</v>
      </c>
      <c r="G281" s="9">
        <f t="shared" si="8"/>
        <v>1258137</v>
      </c>
      <c r="H281" s="2" t="str" cm="1">
        <f t="array" ref="H281">_xlfn.IFS('БАЗА (1)'!G281&gt;10000000,'Справочник (2-3)'!$G$5,AND('БАЗА (1)'!G281&lt;=10000000,'БАЗА (1)'!G281&gt;=5000000),'Справочник (2-3)'!$G$4,'БАЗА (1)'!G281&lt;5000000,'Справочник (2-3)'!$G$3)</f>
        <v>C</v>
      </c>
      <c r="I281" s="2" t="s">
        <v>62</v>
      </c>
      <c r="J281" s="2" t="str">
        <f t="shared" si="9"/>
        <v>Зубова И. М.</v>
      </c>
      <c r="K281" s="44">
        <v>42001</v>
      </c>
    </row>
    <row r="282" spans="1:11" x14ac:dyDescent="0.25">
      <c r="A282" s="43">
        <v>280</v>
      </c>
      <c r="B282" s="3">
        <v>3</v>
      </c>
      <c r="C282" s="2" t="str">
        <f>VLOOKUP('БАЗА (1)'!B282,'Справочник (2-3)'!$A$3:$B$9,2,FALSE)</f>
        <v>Челябинск</v>
      </c>
      <c r="D282" s="40">
        <v>42302</v>
      </c>
      <c r="E282" s="2">
        <v>79</v>
      </c>
      <c r="F282" s="9">
        <v>97637</v>
      </c>
      <c r="G282" s="9">
        <f t="shared" si="8"/>
        <v>7713323</v>
      </c>
      <c r="H282" s="2" t="str" cm="1">
        <f t="array" ref="H282">_xlfn.IFS('БАЗА (1)'!G282&gt;10000000,'Справочник (2-3)'!$G$5,AND('БАЗА (1)'!G282&lt;=10000000,'БАЗА (1)'!G282&gt;=5000000),'Справочник (2-3)'!$G$4,'БАЗА (1)'!G282&lt;5000000,'Справочник (2-3)'!$G$3)</f>
        <v>B</v>
      </c>
      <c r="I282" s="2" t="s">
        <v>85</v>
      </c>
      <c r="J282" s="2" t="str">
        <f t="shared" si="9"/>
        <v>Минина Т. В.</v>
      </c>
      <c r="K282" s="44">
        <v>42302</v>
      </c>
    </row>
    <row r="283" spans="1:11" x14ac:dyDescent="0.25">
      <c r="A283" s="43">
        <v>281</v>
      </c>
      <c r="B283" s="3">
        <v>4</v>
      </c>
      <c r="C283" s="2" t="str">
        <f>VLOOKUP('БАЗА (1)'!B283,'Справочник (2-3)'!$A$3:$B$9,2,FALSE)</f>
        <v>Казань</v>
      </c>
      <c r="D283" s="40">
        <v>41957</v>
      </c>
      <c r="E283" s="2">
        <v>134</v>
      </c>
      <c r="F283" s="9">
        <v>17154</v>
      </c>
      <c r="G283" s="9">
        <f t="shared" si="8"/>
        <v>2298636</v>
      </c>
      <c r="H283" s="2" t="str" cm="1">
        <f t="array" ref="H283">_xlfn.IFS('БАЗА (1)'!G283&gt;10000000,'Справочник (2-3)'!$G$5,AND('БАЗА (1)'!G283&lt;=10000000,'БАЗА (1)'!G283&gt;=5000000),'Справочник (2-3)'!$G$4,'БАЗА (1)'!G283&lt;5000000,'Справочник (2-3)'!$G$3)</f>
        <v>C</v>
      </c>
      <c r="I283" s="2" t="s">
        <v>82</v>
      </c>
      <c r="J283" s="2" t="str">
        <f t="shared" si="9"/>
        <v>Меркушев А. С.</v>
      </c>
      <c r="K283" s="44">
        <v>41957</v>
      </c>
    </row>
    <row r="284" spans="1:11" x14ac:dyDescent="0.25">
      <c r="A284" s="43">
        <v>282</v>
      </c>
      <c r="B284" s="3">
        <v>4</v>
      </c>
      <c r="C284" s="2" t="str">
        <f>VLOOKUP('БАЗА (1)'!B284,'Справочник (2-3)'!$A$3:$B$9,2,FALSE)</f>
        <v>Казань</v>
      </c>
      <c r="D284" s="40">
        <v>43091</v>
      </c>
      <c r="E284" s="2">
        <v>136</v>
      </c>
      <c r="F284" s="9">
        <v>12224</v>
      </c>
      <c r="G284" s="9">
        <f t="shared" si="8"/>
        <v>1662464</v>
      </c>
      <c r="H284" s="2" t="str" cm="1">
        <f t="array" ref="H284">_xlfn.IFS('БАЗА (1)'!G284&gt;10000000,'Справочник (2-3)'!$G$5,AND('БАЗА (1)'!G284&lt;=10000000,'БАЗА (1)'!G284&gt;=5000000),'Справочник (2-3)'!$G$4,'БАЗА (1)'!G284&lt;5000000,'Справочник (2-3)'!$G$3)</f>
        <v>C</v>
      </c>
      <c r="I284" s="2" t="s">
        <v>76</v>
      </c>
      <c r="J284" s="2" t="str">
        <f t="shared" si="9"/>
        <v>Лакеенков Д. В.</v>
      </c>
      <c r="K284" s="44">
        <v>43091</v>
      </c>
    </row>
    <row r="285" spans="1:11" x14ac:dyDescent="0.25">
      <c r="A285" s="43">
        <v>283</v>
      </c>
      <c r="B285" s="3">
        <v>7</v>
      </c>
      <c r="C285" s="2" t="str">
        <f>VLOOKUP('БАЗА (1)'!B285,'Справочник (2-3)'!$A$3:$B$9,2,FALSE)</f>
        <v>Йошкар-Ола</v>
      </c>
      <c r="D285" s="40">
        <v>42296</v>
      </c>
      <c r="E285" s="2">
        <v>2</v>
      </c>
      <c r="F285" s="9">
        <v>71426</v>
      </c>
      <c r="G285" s="9">
        <f t="shared" si="8"/>
        <v>142852</v>
      </c>
      <c r="H285" s="2" t="str" cm="1">
        <f t="array" ref="H285">_xlfn.IFS('БАЗА (1)'!G285&gt;10000000,'Справочник (2-3)'!$G$5,AND('БАЗА (1)'!G285&lt;=10000000,'БАЗА (1)'!G285&gt;=5000000),'Справочник (2-3)'!$G$4,'БАЗА (1)'!G285&lt;5000000,'Справочник (2-3)'!$G$3)</f>
        <v>C</v>
      </c>
      <c r="I285" s="2" t="s">
        <v>93</v>
      </c>
      <c r="J285" s="2" t="str">
        <f t="shared" si="9"/>
        <v>Пермякова О. А.</v>
      </c>
      <c r="K285" s="44">
        <v>42296</v>
      </c>
    </row>
    <row r="286" spans="1:11" x14ac:dyDescent="0.25">
      <c r="A286" s="43">
        <v>284</v>
      </c>
      <c r="B286" s="3">
        <v>4</v>
      </c>
      <c r="C286" s="2" t="str">
        <f>VLOOKUP('БАЗА (1)'!B286,'Справочник (2-3)'!$A$3:$B$9,2,FALSE)</f>
        <v>Казань</v>
      </c>
      <c r="D286" s="40">
        <v>41994</v>
      </c>
      <c r="E286" s="2">
        <v>26</v>
      </c>
      <c r="F286" s="9">
        <v>79152</v>
      </c>
      <c r="G286" s="9">
        <f t="shared" si="8"/>
        <v>2057952</v>
      </c>
      <c r="H286" s="2" t="str" cm="1">
        <f t="array" ref="H286">_xlfn.IFS('БАЗА (1)'!G286&gt;10000000,'Справочник (2-3)'!$G$5,AND('БАЗА (1)'!G286&lt;=10000000,'БАЗА (1)'!G286&gt;=5000000),'Справочник (2-3)'!$G$4,'БАЗА (1)'!G286&lt;5000000,'Справочник (2-3)'!$G$3)</f>
        <v>C</v>
      </c>
      <c r="I286" s="2" t="s">
        <v>65</v>
      </c>
      <c r="J286" s="2" t="str">
        <f t="shared" si="9"/>
        <v>Иванова Л. Н.</v>
      </c>
      <c r="K286" s="44">
        <v>41994</v>
      </c>
    </row>
    <row r="287" spans="1:11" x14ac:dyDescent="0.25">
      <c r="A287" s="43">
        <v>285</v>
      </c>
      <c r="B287" s="3">
        <v>7</v>
      </c>
      <c r="C287" s="2" t="str">
        <f>VLOOKUP('БАЗА (1)'!B287,'Справочник (2-3)'!$A$3:$B$9,2,FALSE)</f>
        <v>Йошкар-Ола</v>
      </c>
      <c r="D287" s="40">
        <v>41596</v>
      </c>
      <c r="E287" s="2">
        <v>3</v>
      </c>
      <c r="F287" s="9">
        <v>23196</v>
      </c>
      <c r="G287" s="9">
        <f t="shared" si="8"/>
        <v>69588</v>
      </c>
      <c r="H287" s="2" t="str" cm="1">
        <f t="array" ref="H287">_xlfn.IFS('БАЗА (1)'!G287&gt;10000000,'Справочник (2-3)'!$G$5,AND('БАЗА (1)'!G287&lt;=10000000,'БАЗА (1)'!G287&gt;=5000000),'Справочник (2-3)'!$G$4,'БАЗА (1)'!G287&lt;5000000,'Справочник (2-3)'!$G$3)</f>
        <v>C</v>
      </c>
      <c r="I287" s="2" t="s">
        <v>92</v>
      </c>
      <c r="J287" s="2" t="str">
        <f t="shared" si="9"/>
        <v>Патрушева В. В.</v>
      </c>
      <c r="K287" s="44">
        <v>41596</v>
      </c>
    </row>
    <row r="288" spans="1:11" x14ac:dyDescent="0.25">
      <c r="A288" s="43">
        <v>286</v>
      </c>
      <c r="B288" s="3">
        <v>2</v>
      </c>
      <c r="C288" s="2" t="str">
        <f>VLOOKUP('БАЗА (1)'!B288,'Справочник (2-3)'!$A$3:$B$9,2,FALSE)</f>
        <v>Санкт-Петербург</v>
      </c>
      <c r="D288" s="40">
        <v>42356</v>
      </c>
      <c r="E288" s="2">
        <v>103</v>
      </c>
      <c r="F288" s="9">
        <v>8127</v>
      </c>
      <c r="G288" s="9">
        <f t="shared" si="8"/>
        <v>837081</v>
      </c>
      <c r="H288" s="2" t="str" cm="1">
        <f t="array" ref="H288">_xlfn.IFS('БАЗА (1)'!G288&gt;10000000,'Справочник (2-3)'!$G$5,AND('БАЗА (1)'!G288&lt;=10000000,'БАЗА (1)'!G288&gt;=5000000),'Справочник (2-3)'!$G$4,'БАЗА (1)'!G288&lt;5000000,'Справочник (2-3)'!$G$3)</f>
        <v>C</v>
      </c>
      <c r="I288" s="2" t="s">
        <v>86</v>
      </c>
      <c r="J288" s="2" t="str">
        <f t="shared" si="9"/>
        <v>Неклюдова И. И.</v>
      </c>
      <c r="K288" s="44">
        <v>42356</v>
      </c>
    </row>
    <row r="289" spans="1:11" x14ac:dyDescent="0.25">
      <c r="A289" s="43">
        <v>287</v>
      </c>
      <c r="B289" s="3">
        <v>1</v>
      </c>
      <c r="C289" s="2" t="str">
        <f>VLOOKUP('БАЗА (1)'!B289,'Справочник (2-3)'!$A$3:$B$9,2,FALSE)</f>
        <v>Москва</v>
      </c>
      <c r="D289" s="40">
        <v>43081</v>
      </c>
      <c r="E289" s="2">
        <v>142</v>
      </c>
      <c r="F289" s="9">
        <v>2104</v>
      </c>
      <c r="G289" s="9">
        <f t="shared" si="8"/>
        <v>298768</v>
      </c>
      <c r="H289" s="2" t="str" cm="1">
        <f t="array" ref="H289">_xlfn.IFS('БАЗА (1)'!G289&gt;10000000,'Справочник (2-3)'!$G$5,AND('БАЗА (1)'!G289&lt;=10000000,'БАЗА (1)'!G289&gt;=5000000),'Справочник (2-3)'!$G$4,'БАЗА (1)'!G289&lt;5000000,'Справочник (2-3)'!$G$3)</f>
        <v>C</v>
      </c>
      <c r="I289" s="2" t="s">
        <v>82</v>
      </c>
      <c r="J289" s="2" t="str">
        <f t="shared" si="9"/>
        <v>Меркушев А. С.</v>
      </c>
      <c r="K289" s="44">
        <v>43081</v>
      </c>
    </row>
    <row r="290" spans="1:11" x14ac:dyDescent="0.25">
      <c r="A290" s="43">
        <v>288</v>
      </c>
      <c r="B290" s="3">
        <v>3</v>
      </c>
      <c r="C290" s="2" t="str">
        <f>VLOOKUP('БАЗА (1)'!B290,'Справочник (2-3)'!$A$3:$B$9,2,FALSE)</f>
        <v>Челябинск</v>
      </c>
      <c r="D290" s="40">
        <v>41986</v>
      </c>
      <c r="E290" s="2">
        <v>47</v>
      </c>
      <c r="F290" s="9">
        <v>32950</v>
      </c>
      <c r="G290" s="9">
        <f t="shared" si="8"/>
        <v>1548650</v>
      </c>
      <c r="H290" s="2" t="str" cm="1">
        <f t="array" ref="H290">_xlfn.IFS('БАЗА (1)'!G290&gt;10000000,'Справочник (2-3)'!$G$5,AND('БАЗА (1)'!G290&lt;=10000000,'БАЗА (1)'!G290&gt;=5000000),'Справочник (2-3)'!$G$4,'БАЗА (1)'!G290&lt;5000000,'Справочник (2-3)'!$G$3)</f>
        <v>C</v>
      </c>
      <c r="I290" s="2" t="s">
        <v>52</v>
      </c>
      <c r="J290" s="2" t="str">
        <f t="shared" si="9"/>
        <v>Власова Л. А.</v>
      </c>
      <c r="K290" s="44">
        <v>41986</v>
      </c>
    </row>
    <row r="291" spans="1:11" x14ac:dyDescent="0.25">
      <c r="A291" s="43">
        <v>289</v>
      </c>
      <c r="B291" s="3">
        <v>7</v>
      </c>
      <c r="C291" s="2" t="str">
        <f>VLOOKUP('БАЗА (1)'!B291,'Справочник (2-3)'!$A$3:$B$9,2,FALSE)</f>
        <v>Йошкар-Ола</v>
      </c>
      <c r="D291" s="40">
        <v>41956</v>
      </c>
      <c r="E291" s="2">
        <v>145</v>
      </c>
      <c r="F291" s="9">
        <v>88936</v>
      </c>
      <c r="G291" s="9">
        <f t="shared" si="8"/>
        <v>12895720</v>
      </c>
      <c r="H291" s="2" t="str" cm="1">
        <f t="array" ref="H291">_xlfn.IFS('БАЗА (1)'!G291&gt;10000000,'Справочник (2-3)'!$G$5,AND('БАЗА (1)'!G291&lt;=10000000,'БАЗА (1)'!G291&gt;=5000000),'Справочник (2-3)'!$G$4,'БАЗА (1)'!G291&lt;5000000,'Справочник (2-3)'!$G$3)</f>
        <v>A</v>
      </c>
      <c r="I291" s="2" t="s">
        <v>59</v>
      </c>
      <c r="J291" s="2" t="str">
        <f t="shared" si="9"/>
        <v>Демидова Е. Б.</v>
      </c>
      <c r="K291" s="44">
        <v>41956</v>
      </c>
    </row>
    <row r="292" spans="1:11" x14ac:dyDescent="0.25">
      <c r="A292" s="43">
        <v>290</v>
      </c>
      <c r="B292" s="3">
        <v>4</v>
      </c>
      <c r="C292" s="2" t="str">
        <f>VLOOKUP('БАЗА (1)'!B292,'Справочник (2-3)'!$A$3:$B$9,2,FALSE)</f>
        <v>Казань</v>
      </c>
      <c r="D292" s="40">
        <v>42323</v>
      </c>
      <c r="E292" s="2">
        <v>41</v>
      </c>
      <c r="F292" s="9">
        <v>62126</v>
      </c>
      <c r="G292" s="9">
        <f t="shared" si="8"/>
        <v>2547166</v>
      </c>
      <c r="H292" s="2" t="str" cm="1">
        <f t="array" ref="H292">_xlfn.IFS('БАЗА (1)'!G292&gt;10000000,'Справочник (2-3)'!$G$5,AND('БАЗА (1)'!G292&lt;=10000000,'БАЗА (1)'!G292&gt;=5000000),'Справочник (2-3)'!$G$4,'БАЗА (1)'!G292&lt;5000000,'Справочник (2-3)'!$G$3)</f>
        <v>C</v>
      </c>
      <c r="I292" s="2" t="s">
        <v>81</v>
      </c>
      <c r="J292" s="2" t="str">
        <f t="shared" si="9"/>
        <v>Мамаева О. Ю.</v>
      </c>
      <c r="K292" s="44">
        <v>42323</v>
      </c>
    </row>
    <row r="293" spans="1:11" x14ac:dyDescent="0.25">
      <c r="A293" s="43">
        <v>291</v>
      </c>
      <c r="B293" s="3">
        <v>1</v>
      </c>
      <c r="C293" s="2" t="str">
        <f>VLOOKUP('БАЗА (1)'!B293,'Справочник (2-3)'!$A$3:$B$9,2,FALSE)</f>
        <v>Москва</v>
      </c>
      <c r="D293" s="40">
        <v>42323</v>
      </c>
      <c r="E293" s="2">
        <v>87</v>
      </c>
      <c r="F293" s="9">
        <v>92384</v>
      </c>
      <c r="G293" s="9">
        <f t="shared" si="8"/>
        <v>8037408</v>
      </c>
      <c r="H293" s="2" t="str" cm="1">
        <f t="array" ref="H293">_xlfn.IFS('БАЗА (1)'!G293&gt;10000000,'Справочник (2-3)'!$G$5,AND('БАЗА (1)'!G293&lt;=10000000,'БАЗА (1)'!G293&gt;=5000000),'Справочник (2-3)'!$G$4,'БАЗА (1)'!G293&lt;5000000,'Справочник (2-3)'!$G$3)</f>
        <v>B</v>
      </c>
      <c r="I293" s="2" t="s">
        <v>61</v>
      </c>
      <c r="J293" s="2" t="str">
        <f t="shared" si="9"/>
        <v>Дьякова Т. А.</v>
      </c>
      <c r="K293" s="44">
        <v>42323</v>
      </c>
    </row>
    <row r="294" spans="1:11" x14ac:dyDescent="0.25">
      <c r="A294" s="43">
        <v>292</v>
      </c>
      <c r="B294" s="3">
        <v>2</v>
      </c>
      <c r="C294" s="2" t="str">
        <f>VLOOKUP('БАЗА (1)'!B294,'Справочник (2-3)'!$A$3:$B$9,2,FALSE)</f>
        <v>Санкт-Петербург</v>
      </c>
      <c r="D294" s="40">
        <v>42289</v>
      </c>
      <c r="E294" s="2">
        <v>145</v>
      </c>
      <c r="F294" s="9">
        <v>23888</v>
      </c>
      <c r="G294" s="9">
        <f t="shared" si="8"/>
        <v>3463760</v>
      </c>
      <c r="H294" s="2" t="str" cm="1">
        <f t="array" ref="H294">_xlfn.IFS('БАЗА (1)'!G294&gt;10000000,'Справочник (2-3)'!$G$5,AND('БАЗА (1)'!G294&lt;=10000000,'БАЗА (1)'!G294&gt;=5000000),'Справочник (2-3)'!$G$4,'БАЗА (1)'!G294&lt;5000000,'Справочник (2-3)'!$G$3)</f>
        <v>C</v>
      </c>
      <c r="I294" s="2" t="s">
        <v>93</v>
      </c>
      <c r="J294" s="2" t="str">
        <f t="shared" si="9"/>
        <v>Пермякова О. А.</v>
      </c>
      <c r="K294" s="44">
        <v>42289</v>
      </c>
    </row>
    <row r="295" spans="1:11" x14ac:dyDescent="0.25">
      <c r="A295" s="43">
        <v>293</v>
      </c>
      <c r="B295" s="3">
        <v>1</v>
      </c>
      <c r="C295" s="2" t="str">
        <f>VLOOKUP('БАЗА (1)'!B295,'Справочник (2-3)'!$A$3:$B$9,2,FALSE)</f>
        <v>Москва</v>
      </c>
      <c r="D295" s="40">
        <v>41956</v>
      </c>
      <c r="E295" s="2">
        <v>152</v>
      </c>
      <c r="F295" s="9">
        <v>74744</v>
      </c>
      <c r="G295" s="9">
        <f t="shared" si="8"/>
        <v>11361088</v>
      </c>
      <c r="H295" s="2" t="str" cm="1">
        <f t="array" ref="H295">_xlfn.IFS('БАЗА (1)'!G295&gt;10000000,'Справочник (2-3)'!$G$5,AND('БАЗА (1)'!G295&lt;=10000000,'БАЗА (1)'!G295&gt;=5000000),'Справочник (2-3)'!$G$4,'БАЗА (1)'!G295&lt;5000000,'Справочник (2-3)'!$G$3)</f>
        <v>A</v>
      </c>
      <c r="I295" s="2" t="s">
        <v>46</v>
      </c>
      <c r="J295" s="2" t="str">
        <f t="shared" si="9"/>
        <v>Анфалова Л. Р.</v>
      </c>
      <c r="K295" s="44">
        <v>41956</v>
      </c>
    </row>
    <row r="296" spans="1:11" x14ac:dyDescent="0.25">
      <c r="A296" s="43">
        <v>294</v>
      </c>
      <c r="B296" s="3">
        <v>5</v>
      </c>
      <c r="C296" s="2" t="str">
        <f>VLOOKUP('БАЗА (1)'!B296,'Справочник (2-3)'!$A$3:$B$9,2,FALSE)</f>
        <v>Омск</v>
      </c>
      <c r="D296" s="40">
        <v>43021</v>
      </c>
      <c r="E296" s="2">
        <v>37</v>
      </c>
      <c r="F296" s="9">
        <v>51742</v>
      </c>
      <c r="G296" s="9">
        <f t="shared" si="8"/>
        <v>1914454</v>
      </c>
      <c r="H296" s="2" t="str" cm="1">
        <f t="array" ref="H296">_xlfn.IFS('БАЗА (1)'!G296&gt;10000000,'Справочник (2-3)'!$G$5,AND('БАЗА (1)'!G296&lt;=10000000,'БАЗА (1)'!G296&gt;=5000000),'Справочник (2-3)'!$G$4,'БАЗА (1)'!G296&lt;5000000,'Справочник (2-3)'!$G$3)</f>
        <v>C</v>
      </c>
      <c r="I296" s="2" t="s">
        <v>63</v>
      </c>
      <c r="J296" s="2" t="str">
        <f t="shared" si="9"/>
        <v>Зуева Е. Ю.</v>
      </c>
      <c r="K296" s="44">
        <v>43021</v>
      </c>
    </row>
    <row r="297" spans="1:11" x14ac:dyDescent="0.25">
      <c r="A297" s="43">
        <v>295</v>
      </c>
      <c r="B297" s="3">
        <v>3</v>
      </c>
      <c r="C297" s="2" t="str">
        <f>VLOOKUP('БАЗА (1)'!B297,'Справочник (2-3)'!$A$3:$B$9,2,FALSE)</f>
        <v>Челябинск</v>
      </c>
      <c r="D297" s="40">
        <v>43094</v>
      </c>
      <c r="E297" s="2">
        <v>37</v>
      </c>
      <c r="F297" s="9">
        <v>75424</v>
      </c>
      <c r="G297" s="9">
        <f t="shared" si="8"/>
        <v>2790688</v>
      </c>
      <c r="H297" s="2" t="str" cm="1">
        <f t="array" ref="H297">_xlfn.IFS('БАЗА (1)'!G297&gt;10000000,'Справочник (2-3)'!$G$5,AND('БАЗА (1)'!G297&lt;=10000000,'БАЗА (1)'!G297&gt;=5000000),'Справочник (2-3)'!$G$4,'БАЗА (1)'!G297&lt;5000000,'Справочник (2-3)'!$G$3)</f>
        <v>C</v>
      </c>
      <c r="I297" s="2" t="s">
        <v>81</v>
      </c>
      <c r="J297" s="2" t="str">
        <f t="shared" si="9"/>
        <v>Мамаева О. Ю.</v>
      </c>
      <c r="K297" s="44">
        <v>43094</v>
      </c>
    </row>
    <row r="298" spans="1:11" x14ac:dyDescent="0.25">
      <c r="A298" s="43">
        <v>296</v>
      </c>
      <c r="B298" s="3">
        <v>3</v>
      </c>
      <c r="C298" s="2" t="str">
        <f>VLOOKUP('БАЗА (1)'!B298,'Справочник (2-3)'!$A$3:$B$9,2,FALSE)</f>
        <v>Челябинск</v>
      </c>
      <c r="D298" s="40">
        <v>41965</v>
      </c>
      <c r="E298" s="2">
        <v>83</v>
      </c>
      <c r="F298" s="9">
        <v>60971</v>
      </c>
      <c r="G298" s="9">
        <f t="shared" si="8"/>
        <v>5060593</v>
      </c>
      <c r="H298" s="2" t="str" cm="1">
        <f t="array" ref="H298">_xlfn.IFS('БАЗА (1)'!G298&gt;10000000,'Справочник (2-3)'!$G$5,AND('БАЗА (1)'!G298&lt;=10000000,'БАЗА (1)'!G298&gt;=5000000),'Справочник (2-3)'!$G$4,'БАЗА (1)'!G298&lt;5000000,'Справочник (2-3)'!$G$3)</f>
        <v>B</v>
      </c>
      <c r="I298" s="2" t="s">
        <v>45</v>
      </c>
      <c r="J298" s="2" t="str">
        <f t="shared" si="9"/>
        <v>Абалтусова В. Г.</v>
      </c>
      <c r="K298" s="44">
        <v>41965</v>
      </c>
    </row>
    <row r="299" spans="1:11" x14ac:dyDescent="0.25">
      <c r="A299" s="43">
        <v>297</v>
      </c>
      <c r="B299" s="3">
        <v>3</v>
      </c>
      <c r="C299" s="2" t="str">
        <f>VLOOKUP('БАЗА (1)'!B299,'Справочник (2-3)'!$A$3:$B$9,2,FALSE)</f>
        <v>Челябинск</v>
      </c>
      <c r="D299" s="40">
        <v>43022</v>
      </c>
      <c r="E299" s="2">
        <v>102</v>
      </c>
      <c r="F299" s="9">
        <v>67654</v>
      </c>
      <c r="G299" s="9">
        <f t="shared" si="8"/>
        <v>6900708</v>
      </c>
      <c r="H299" s="2" t="str" cm="1">
        <f t="array" ref="H299">_xlfn.IFS('БАЗА (1)'!G299&gt;10000000,'Справочник (2-3)'!$G$5,AND('БАЗА (1)'!G299&lt;=10000000,'БАЗА (1)'!G299&gt;=5000000),'Справочник (2-3)'!$G$4,'БАЗА (1)'!G299&lt;5000000,'Справочник (2-3)'!$G$3)</f>
        <v>B</v>
      </c>
      <c r="I299" s="2" t="s">
        <v>86</v>
      </c>
      <c r="J299" s="2" t="str">
        <f t="shared" si="9"/>
        <v>Неклюдова И. И.</v>
      </c>
      <c r="K299" s="44">
        <v>43022</v>
      </c>
    </row>
    <row r="300" spans="1:11" x14ac:dyDescent="0.25">
      <c r="A300" s="43">
        <v>298</v>
      </c>
      <c r="B300" s="3">
        <v>5</v>
      </c>
      <c r="C300" s="2" t="str">
        <f>VLOOKUP('БАЗА (1)'!B300,'Справочник (2-3)'!$A$3:$B$9,2,FALSE)</f>
        <v>Омск</v>
      </c>
      <c r="D300" s="40">
        <v>41939</v>
      </c>
      <c r="E300" s="2">
        <v>158</v>
      </c>
      <c r="F300" s="9">
        <v>73974</v>
      </c>
      <c r="G300" s="9">
        <f t="shared" si="8"/>
        <v>11687892</v>
      </c>
      <c r="H300" s="2" t="str" cm="1">
        <f t="array" ref="H300">_xlfn.IFS('БАЗА (1)'!G300&gt;10000000,'Справочник (2-3)'!$G$5,AND('БАЗА (1)'!G300&lt;=10000000,'БАЗА (1)'!G300&gt;=5000000),'Справочник (2-3)'!$G$4,'БАЗА (1)'!G300&lt;5000000,'Справочник (2-3)'!$G$3)</f>
        <v>A</v>
      </c>
      <c r="I300" s="2" t="s">
        <v>52</v>
      </c>
      <c r="J300" s="2" t="str">
        <f t="shared" si="9"/>
        <v>Власова Л. А.</v>
      </c>
      <c r="K300" s="44">
        <v>41939</v>
      </c>
    </row>
    <row r="301" spans="1:11" x14ac:dyDescent="0.25">
      <c r="A301" s="43">
        <v>299</v>
      </c>
      <c r="B301" s="3">
        <v>4</v>
      </c>
      <c r="C301" s="2" t="str">
        <f>VLOOKUP('БАЗА (1)'!B301,'Справочник (2-3)'!$A$3:$B$9,2,FALSE)</f>
        <v>Казань</v>
      </c>
      <c r="D301" s="40">
        <v>42325</v>
      </c>
      <c r="E301" s="2">
        <v>82</v>
      </c>
      <c r="F301" s="9">
        <v>30503</v>
      </c>
      <c r="G301" s="9">
        <f t="shared" si="8"/>
        <v>2501246</v>
      </c>
      <c r="H301" s="2" t="str" cm="1">
        <f t="array" ref="H301">_xlfn.IFS('БАЗА (1)'!G301&gt;10000000,'Справочник (2-3)'!$G$5,AND('БАЗА (1)'!G301&lt;=10000000,'БАЗА (1)'!G301&gt;=5000000),'Справочник (2-3)'!$G$4,'БАЗА (1)'!G301&lt;5000000,'Справочник (2-3)'!$G$3)</f>
        <v>C</v>
      </c>
      <c r="I301" s="2" t="s">
        <v>76</v>
      </c>
      <c r="J301" s="2" t="str">
        <f t="shared" si="9"/>
        <v>Лакеенков Д. В.</v>
      </c>
      <c r="K301" s="44">
        <v>42325</v>
      </c>
    </row>
    <row r="302" spans="1:11" x14ac:dyDescent="0.25">
      <c r="A302" s="43">
        <v>300</v>
      </c>
      <c r="B302" s="3">
        <v>5</v>
      </c>
      <c r="C302" s="2" t="str">
        <f>VLOOKUP('БАЗА (1)'!B302,'Справочник (2-3)'!$A$3:$B$9,2,FALSE)</f>
        <v>Омск</v>
      </c>
      <c r="D302" s="40">
        <v>42287</v>
      </c>
      <c r="E302" s="2">
        <v>12</v>
      </c>
      <c r="F302" s="9">
        <v>51189</v>
      </c>
      <c r="G302" s="9">
        <f t="shared" si="8"/>
        <v>614268</v>
      </c>
      <c r="H302" s="2" t="str" cm="1">
        <f t="array" ref="H302">_xlfn.IFS('БАЗА (1)'!G302&gt;10000000,'Справочник (2-3)'!$G$5,AND('БАЗА (1)'!G302&lt;=10000000,'БАЗА (1)'!G302&gt;=5000000),'Справочник (2-3)'!$G$4,'БАЗА (1)'!G302&lt;5000000,'Справочник (2-3)'!$G$3)</f>
        <v>C</v>
      </c>
      <c r="I302" s="2" t="s">
        <v>68</v>
      </c>
      <c r="J302" s="2" t="str">
        <f t="shared" si="9"/>
        <v>Кадырова Е. А.</v>
      </c>
      <c r="K302" s="44">
        <v>42287</v>
      </c>
    </row>
    <row r="303" spans="1:11" x14ac:dyDescent="0.25">
      <c r="A303" s="43">
        <v>301</v>
      </c>
      <c r="B303" s="3">
        <v>5</v>
      </c>
      <c r="C303" s="2" t="str">
        <f>VLOOKUP('БАЗА (1)'!B303,'Справочник (2-3)'!$A$3:$B$9,2,FALSE)</f>
        <v>Омск</v>
      </c>
      <c r="D303" s="40">
        <v>41984</v>
      </c>
      <c r="E303" s="2">
        <v>113</v>
      </c>
      <c r="F303" s="9">
        <v>59292</v>
      </c>
      <c r="G303" s="9">
        <f t="shared" si="8"/>
        <v>6699996</v>
      </c>
      <c r="H303" s="2" t="str" cm="1">
        <f t="array" ref="H303">_xlfn.IFS('БАЗА (1)'!G303&gt;10000000,'Справочник (2-3)'!$G$5,AND('БАЗА (1)'!G303&lt;=10000000,'БАЗА (1)'!G303&gt;=5000000),'Справочник (2-3)'!$G$4,'БАЗА (1)'!G303&lt;5000000,'Справочник (2-3)'!$G$3)</f>
        <v>B</v>
      </c>
      <c r="I303" s="2" t="s">
        <v>96</v>
      </c>
      <c r="J303" s="2" t="str">
        <f t="shared" si="9"/>
        <v>Подчуфарова Ж. А.</v>
      </c>
      <c r="K303" s="44">
        <v>41984</v>
      </c>
    </row>
    <row r="304" spans="1:11" x14ac:dyDescent="0.25">
      <c r="A304" s="43">
        <v>302</v>
      </c>
      <c r="B304" s="3">
        <v>7</v>
      </c>
      <c r="C304" s="2" t="str">
        <f>VLOOKUP('БАЗА (1)'!B304,'Справочник (2-3)'!$A$3:$B$9,2,FALSE)</f>
        <v>Йошкар-Ола</v>
      </c>
      <c r="D304" s="40">
        <v>41620</v>
      </c>
      <c r="E304" s="2">
        <v>141</v>
      </c>
      <c r="F304" s="9">
        <v>12108</v>
      </c>
      <c r="G304" s="9">
        <f t="shared" si="8"/>
        <v>1707228</v>
      </c>
      <c r="H304" s="2" t="str" cm="1">
        <f t="array" ref="H304">_xlfn.IFS('БАЗА (1)'!G304&gt;10000000,'Справочник (2-3)'!$G$5,AND('БАЗА (1)'!G304&lt;=10000000,'БАЗА (1)'!G304&gt;=5000000),'Справочник (2-3)'!$G$4,'БАЗА (1)'!G304&lt;5000000,'Справочник (2-3)'!$G$3)</f>
        <v>C</v>
      </c>
      <c r="I304" s="2" t="s">
        <v>73</v>
      </c>
      <c r="J304" s="2" t="str">
        <f t="shared" si="9"/>
        <v>Королев А. М.</v>
      </c>
      <c r="K304" s="44">
        <v>41620</v>
      </c>
    </row>
    <row r="305" spans="1:12" x14ac:dyDescent="0.25">
      <c r="A305" s="43">
        <v>303</v>
      </c>
      <c r="B305" s="3">
        <v>3</v>
      </c>
      <c r="C305" s="2" t="str">
        <f>VLOOKUP('БАЗА (1)'!B305,'Справочник (2-3)'!$A$3:$B$9,2,FALSE)</f>
        <v>Челябинск</v>
      </c>
      <c r="D305" s="40">
        <v>42691</v>
      </c>
      <c r="E305" s="2">
        <v>35</v>
      </c>
      <c r="F305" s="9">
        <v>25750</v>
      </c>
      <c r="G305" s="9">
        <f t="shared" si="8"/>
        <v>901250</v>
      </c>
      <c r="H305" s="2" t="str" cm="1">
        <f t="array" ref="H305">_xlfn.IFS('БАЗА (1)'!G305&gt;10000000,'Справочник (2-3)'!$G$5,AND('БАЗА (1)'!G305&lt;=10000000,'БАЗА (1)'!G305&gt;=5000000),'Справочник (2-3)'!$G$4,'БАЗА (1)'!G305&lt;5000000,'Справочник (2-3)'!$G$3)</f>
        <v>C</v>
      </c>
      <c r="I305" s="2" t="s">
        <v>79</v>
      </c>
      <c r="J305" s="2" t="str">
        <f t="shared" si="9"/>
        <v>Лыхина Т. А.</v>
      </c>
      <c r="K305" s="44">
        <v>42691</v>
      </c>
    </row>
    <row r="306" spans="1:12" x14ac:dyDescent="0.25">
      <c r="A306" s="43">
        <v>304</v>
      </c>
      <c r="B306" s="3">
        <v>3</v>
      </c>
      <c r="C306" s="2" t="str">
        <f>VLOOKUP('БАЗА (1)'!B306,'Справочник (2-3)'!$A$3:$B$9,2,FALSE)</f>
        <v>Челябинск</v>
      </c>
      <c r="D306" s="40">
        <v>42355</v>
      </c>
      <c r="E306" s="2">
        <v>165</v>
      </c>
      <c r="F306" s="9">
        <v>78630</v>
      </c>
      <c r="G306" s="9">
        <f t="shared" si="8"/>
        <v>12973950</v>
      </c>
      <c r="H306" s="2" t="str" cm="1">
        <f t="array" ref="H306">_xlfn.IFS('БАЗА (1)'!G306&gt;10000000,'Справочник (2-3)'!$G$5,AND('БАЗА (1)'!G306&lt;=10000000,'БАЗА (1)'!G306&gt;=5000000),'Справочник (2-3)'!$G$4,'БАЗА (1)'!G306&lt;5000000,'Справочник (2-3)'!$G$3)</f>
        <v>A</v>
      </c>
      <c r="I306" s="2" t="s">
        <v>58</v>
      </c>
      <c r="J306" s="2" t="str">
        <f t="shared" si="9"/>
        <v>Давыдова Т. К.</v>
      </c>
      <c r="K306" s="44">
        <v>42355</v>
      </c>
    </row>
    <row r="307" spans="1:12" x14ac:dyDescent="0.25">
      <c r="A307" s="43">
        <v>305</v>
      </c>
      <c r="B307" s="3">
        <v>1</v>
      </c>
      <c r="C307" s="2" t="str">
        <f>VLOOKUP('БАЗА (1)'!B307,'Справочник (2-3)'!$A$3:$B$9,2,FALSE)</f>
        <v>Москва</v>
      </c>
      <c r="D307" s="40">
        <v>43088</v>
      </c>
      <c r="E307" s="2">
        <v>130</v>
      </c>
      <c r="F307" s="9">
        <v>92026</v>
      </c>
      <c r="G307" s="9">
        <f t="shared" si="8"/>
        <v>11963380</v>
      </c>
      <c r="H307" s="2" t="str" cm="1">
        <f t="array" ref="H307">_xlfn.IFS('БАЗА (1)'!G307&gt;10000000,'Справочник (2-3)'!$G$5,AND('БАЗА (1)'!G307&lt;=10000000,'БАЗА (1)'!G307&gt;=5000000),'Справочник (2-3)'!$G$4,'БАЗА (1)'!G307&lt;5000000,'Справочник (2-3)'!$G$3)</f>
        <v>A</v>
      </c>
      <c r="I307" s="2" t="s">
        <v>53</v>
      </c>
      <c r="J307" s="2" t="str">
        <f t="shared" si="9"/>
        <v>Воробьева Ю. А.</v>
      </c>
      <c r="K307" s="44">
        <v>43088</v>
      </c>
    </row>
    <row r="308" spans="1:12" x14ac:dyDescent="0.25">
      <c r="A308" s="43">
        <v>306</v>
      </c>
      <c r="B308" s="3">
        <v>7</v>
      </c>
      <c r="C308" s="2" t="str">
        <f>VLOOKUP('БАЗА (1)'!B308,'Справочник (2-3)'!$A$3:$B$9,2,FALSE)</f>
        <v>Йошкар-Ола</v>
      </c>
      <c r="D308" s="40">
        <v>42292</v>
      </c>
      <c r="E308" s="2">
        <v>158</v>
      </c>
      <c r="F308" s="9">
        <v>73917</v>
      </c>
      <c r="G308" s="9">
        <f t="shared" si="8"/>
        <v>11678886</v>
      </c>
      <c r="H308" s="2" t="str" cm="1">
        <f t="array" ref="H308">_xlfn.IFS('БАЗА (1)'!G308&gt;10000000,'Справочник (2-3)'!$G$5,AND('БАЗА (1)'!G308&lt;=10000000,'БАЗА (1)'!G308&gt;=5000000),'Справочник (2-3)'!$G$4,'БАЗА (1)'!G308&lt;5000000,'Справочник (2-3)'!$G$3)</f>
        <v>A</v>
      </c>
      <c r="I308" s="2" t="s">
        <v>77</v>
      </c>
      <c r="J308" s="2" t="str">
        <f t="shared" si="9"/>
        <v>Лоскутова М. В.</v>
      </c>
      <c r="K308" s="44">
        <v>42292</v>
      </c>
    </row>
    <row r="309" spans="1:12" x14ac:dyDescent="0.25">
      <c r="A309" s="43">
        <v>307</v>
      </c>
      <c r="B309" s="3">
        <v>5</v>
      </c>
      <c r="C309" s="2" t="str">
        <f>VLOOKUP('БАЗА (1)'!B309,'Справочник (2-3)'!$A$3:$B$9,2,FALSE)</f>
        <v>Омск</v>
      </c>
      <c r="D309" s="40">
        <v>42700</v>
      </c>
      <c r="E309" s="2">
        <v>96</v>
      </c>
      <c r="F309" s="9">
        <v>18888</v>
      </c>
      <c r="G309" s="9">
        <f t="shared" si="8"/>
        <v>1813248</v>
      </c>
      <c r="H309" s="2" t="str" cm="1">
        <f t="array" ref="H309">_xlfn.IFS('БАЗА (1)'!G309&gt;10000000,'Справочник (2-3)'!$G$5,AND('БАЗА (1)'!G309&lt;=10000000,'БАЗА (1)'!G309&gt;=5000000),'Справочник (2-3)'!$G$4,'БАЗА (1)'!G309&lt;5000000,'Справочник (2-3)'!$G$3)</f>
        <v>C</v>
      </c>
      <c r="I309" s="2" t="s">
        <v>51</v>
      </c>
      <c r="J309" s="2" t="str">
        <f t="shared" si="9"/>
        <v>Васнин В. В.</v>
      </c>
      <c r="K309" s="44">
        <v>42700</v>
      </c>
    </row>
    <row r="310" spans="1:12" x14ac:dyDescent="0.25">
      <c r="A310" s="43">
        <v>308</v>
      </c>
      <c r="B310" s="3">
        <v>2</v>
      </c>
      <c r="C310" s="2" t="str">
        <f>VLOOKUP('БАЗА (1)'!B310,'Справочник (2-3)'!$A$3:$B$9,2,FALSE)</f>
        <v>Санкт-Петербург</v>
      </c>
      <c r="D310" s="40">
        <v>42685</v>
      </c>
      <c r="E310" s="2">
        <v>145</v>
      </c>
      <c r="F310" s="9">
        <v>64015</v>
      </c>
      <c r="G310" s="9">
        <f t="shared" si="8"/>
        <v>9282175</v>
      </c>
      <c r="H310" s="2" t="str" cm="1">
        <f t="array" ref="H310">_xlfn.IFS('БАЗА (1)'!G310&gt;10000000,'Справочник (2-3)'!$G$5,AND('БАЗА (1)'!G310&lt;=10000000,'БАЗА (1)'!G310&gt;=5000000),'Справочник (2-3)'!$G$4,'БАЗА (1)'!G310&lt;5000000,'Справочник (2-3)'!$G$3)</f>
        <v>B</v>
      </c>
      <c r="I310" s="2" t="s">
        <v>63</v>
      </c>
      <c r="J310" s="2" t="str">
        <f t="shared" si="9"/>
        <v>Зуева Е. Ю.</v>
      </c>
      <c r="K310" s="44">
        <v>42685</v>
      </c>
      <c r="L310" s="42"/>
    </row>
    <row r="311" spans="1:12" x14ac:dyDescent="0.25">
      <c r="A311" s="43">
        <v>309</v>
      </c>
      <c r="B311" s="3">
        <v>3</v>
      </c>
      <c r="C311" s="2" t="str">
        <f>VLOOKUP('БАЗА (1)'!B311,'Справочник (2-3)'!$A$3:$B$9,2,FALSE)</f>
        <v>Челябинск</v>
      </c>
      <c r="D311" s="40">
        <v>41994</v>
      </c>
      <c r="E311" s="2">
        <v>68</v>
      </c>
      <c r="F311" s="9">
        <v>53007</v>
      </c>
      <c r="G311" s="9">
        <f t="shared" si="8"/>
        <v>3604476</v>
      </c>
      <c r="H311" s="2" t="str" cm="1">
        <f t="array" ref="H311">_xlfn.IFS('БАЗА (1)'!G311&gt;10000000,'Справочник (2-3)'!$G$5,AND('БАЗА (1)'!G311&lt;=10000000,'БАЗА (1)'!G311&gt;=5000000),'Справочник (2-3)'!$G$4,'БАЗА (1)'!G311&lt;5000000,'Справочник (2-3)'!$G$3)</f>
        <v>C</v>
      </c>
      <c r="I311" s="2" t="s">
        <v>67</v>
      </c>
      <c r="J311" s="2" t="str">
        <f t="shared" si="9"/>
        <v>Исцелемова С. А.</v>
      </c>
      <c r="K311" s="44">
        <v>41994</v>
      </c>
    </row>
    <row r="312" spans="1:12" x14ac:dyDescent="0.25">
      <c r="A312" s="43">
        <v>310</v>
      </c>
      <c r="B312" s="3">
        <v>2</v>
      </c>
      <c r="C312" s="2" t="str">
        <f>VLOOKUP('БАЗА (1)'!B312,'Справочник (2-3)'!$A$3:$B$9,2,FALSE)</f>
        <v>Санкт-Петербург</v>
      </c>
      <c r="D312" s="40">
        <v>41934</v>
      </c>
      <c r="E312" s="2">
        <v>23</v>
      </c>
      <c r="F312" s="9">
        <v>16218</v>
      </c>
      <c r="G312" s="9">
        <f t="shared" si="8"/>
        <v>373014</v>
      </c>
      <c r="H312" s="2" t="str" cm="1">
        <f t="array" ref="H312">_xlfn.IFS('БАЗА (1)'!G312&gt;10000000,'Справочник (2-3)'!$G$5,AND('БАЗА (1)'!G312&lt;=10000000,'БАЗА (1)'!G312&gt;=5000000),'Справочник (2-3)'!$G$4,'БАЗА (1)'!G312&lt;5000000,'Справочник (2-3)'!$G$3)</f>
        <v>C</v>
      </c>
      <c r="I312" s="2" t="s">
        <v>71</v>
      </c>
      <c r="J312" s="2" t="str">
        <f t="shared" si="9"/>
        <v>Клепизонова В. А.</v>
      </c>
      <c r="K312" s="44">
        <v>41934</v>
      </c>
    </row>
    <row r="313" spans="1:12" x14ac:dyDescent="0.25">
      <c r="A313" s="43">
        <v>311</v>
      </c>
      <c r="B313" s="3">
        <v>1</v>
      </c>
      <c r="C313" s="2" t="str">
        <f>VLOOKUP('БАЗА (1)'!B313,'Справочник (2-3)'!$A$3:$B$9,2,FALSE)</f>
        <v>Москва</v>
      </c>
      <c r="D313" s="40">
        <v>41618</v>
      </c>
      <c r="E313" s="2">
        <v>139</v>
      </c>
      <c r="F313" s="9">
        <v>34439</v>
      </c>
      <c r="G313" s="9">
        <f t="shared" si="8"/>
        <v>4787021</v>
      </c>
      <c r="H313" s="2" t="str" cm="1">
        <f t="array" ref="H313">_xlfn.IFS('БАЗА (1)'!G313&gt;10000000,'Справочник (2-3)'!$G$5,AND('БАЗА (1)'!G313&lt;=10000000,'БАЗА (1)'!G313&gt;=5000000),'Справочник (2-3)'!$G$4,'БАЗА (1)'!G313&lt;5000000,'Справочник (2-3)'!$G$3)</f>
        <v>C</v>
      </c>
      <c r="I313" s="2" t="s">
        <v>66</v>
      </c>
      <c r="J313" s="2" t="str">
        <f t="shared" si="9"/>
        <v>Ильина Т. Н.</v>
      </c>
      <c r="K313" s="44">
        <v>41618</v>
      </c>
    </row>
    <row r="314" spans="1:12" x14ac:dyDescent="0.25">
      <c r="A314" s="43">
        <v>312</v>
      </c>
      <c r="B314" s="3">
        <v>7</v>
      </c>
      <c r="C314" s="2" t="str">
        <f>VLOOKUP('БАЗА (1)'!B314,'Справочник (2-3)'!$A$3:$B$9,2,FALSE)</f>
        <v>Йошкар-Ола</v>
      </c>
      <c r="D314" s="40">
        <v>42303</v>
      </c>
      <c r="E314" s="2">
        <v>14</v>
      </c>
      <c r="F314" s="9">
        <v>81351</v>
      </c>
      <c r="G314" s="9">
        <f t="shared" si="8"/>
        <v>1138914</v>
      </c>
      <c r="H314" s="2" t="str" cm="1">
        <f t="array" ref="H314">_xlfn.IFS('БАЗА (1)'!G314&gt;10000000,'Справочник (2-3)'!$G$5,AND('БАЗА (1)'!G314&lt;=10000000,'БАЗА (1)'!G314&gt;=5000000),'Справочник (2-3)'!$G$4,'БАЗА (1)'!G314&lt;5000000,'Справочник (2-3)'!$G$3)</f>
        <v>C</v>
      </c>
      <c r="I314" s="2" t="s">
        <v>91</v>
      </c>
      <c r="J314" s="2" t="str">
        <f t="shared" si="9"/>
        <v>Паршакова Т. Л.</v>
      </c>
      <c r="K314" s="44">
        <v>42303</v>
      </c>
    </row>
    <row r="315" spans="1:12" x14ac:dyDescent="0.25">
      <c r="A315" s="43">
        <v>313</v>
      </c>
      <c r="B315" s="3">
        <v>3</v>
      </c>
      <c r="C315" s="2" t="str">
        <f>VLOOKUP('БАЗА (1)'!B315,'Справочник (2-3)'!$A$3:$B$9,2,FALSE)</f>
        <v>Челябинск</v>
      </c>
      <c r="D315" s="40">
        <v>41604</v>
      </c>
      <c r="E315" s="2">
        <v>164</v>
      </c>
      <c r="F315" s="9">
        <v>51510</v>
      </c>
      <c r="G315" s="9">
        <f t="shared" si="8"/>
        <v>8447640</v>
      </c>
      <c r="H315" s="2" t="str" cm="1">
        <f t="array" ref="H315">_xlfn.IFS('БАЗА (1)'!G315&gt;10000000,'Справочник (2-3)'!$G$5,AND('БАЗА (1)'!G315&lt;=10000000,'БАЗА (1)'!G315&gt;=5000000),'Справочник (2-3)'!$G$4,'БАЗА (1)'!G315&lt;5000000,'Справочник (2-3)'!$G$3)</f>
        <v>B</v>
      </c>
      <c r="I315" s="2" t="s">
        <v>91</v>
      </c>
      <c r="J315" s="2" t="str">
        <f t="shared" si="9"/>
        <v>Паршакова Т. Л.</v>
      </c>
      <c r="K315" s="44">
        <v>41604</v>
      </c>
    </row>
    <row r="316" spans="1:12" x14ac:dyDescent="0.25">
      <c r="A316" s="43">
        <v>314</v>
      </c>
      <c r="B316" s="3">
        <v>5</v>
      </c>
      <c r="C316" s="2" t="str">
        <f>VLOOKUP('БАЗА (1)'!B316,'Справочник (2-3)'!$A$3:$B$9,2,FALSE)</f>
        <v>Омск</v>
      </c>
      <c r="D316" s="40">
        <v>41559</v>
      </c>
      <c r="E316" s="2">
        <v>33</v>
      </c>
      <c r="F316" s="9">
        <v>67134</v>
      </c>
      <c r="G316" s="9">
        <f t="shared" si="8"/>
        <v>2215422</v>
      </c>
      <c r="H316" s="2" t="str" cm="1">
        <f t="array" ref="H316">_xlfn.IFS('БАЗА (1)'!G316&gt;10000000,'Справочник (2-3)'!$G$5,AND('БАЗА (1)'!G316&lt;=10000000,'БАЗА (1)'!G316&gt;=5000000),'Справочник (2-3)'!$G$4,'БАЗА (1)'!G316&lt;5000000,'Справочник (2-3)'!$G$3)</f>
        <v>C</v>
      </c>
      <c r="I316" s="2" t="s">
        <v>93</v>
      </c>
      <c r="J316" s="2" t="str">
        <f t="shared" si="9"/>
        <v>Пермякова О. А.</v>
      </c>
      <c r="K316" s="44">
        <v>41559</v>
      </c>
    </row>
    <row r="317" spans="1:12" x14ac:dyDescent="0.25">
      <c r="A317" s="43">
        <v>315</v>
      </c>
      <c r="B317" s="3">
        <v>5</v>
      </c>
      <c r="C317" s="2" t="str">
        <f>VLOOKUP('БАЗА (1)'!B317,'Справочник (2-3)'!$A$3:$B$9,2,FALSE)</f>
        <v>Омск</v>
      </c>
      <c r="D317" s="40">
        <v>41628</v>
      </c>
      <c r="E317" s="2">
        <v>170</v>
      </c>
      <c r="F317" s="9">
        <v>25056</v>
      </c>
      <c r="G317" s="9">
        <f t="shared" si="8"/>
        <v>4259520</v>
      </c>
      <c r="H317" s="2" t="str" cm="1">
        <f t="array" ref="H317">_xlfn.IFS('БАЗА (1)'!G317&gt;10000000,'Справочник (2-3)'!$G$5,AND('БАЗА (1)'!G317&lt;=10000000,'БАЗА (1)'!G317&gt;=5000000),'Справочник (2-3)'!$G$4,'БАЗА (1)'!G317&lt;5000000,'Справочник (2-3)'!$G$3)</f>
        <v>C</v>
      </c>
      <c r="I317" s="2" t="s">
        <v>60</v>
      </c>
      <c r="J317" s="2" t="str">
        <f t="shared" si="9"/>
        <v>Дружинин А. В.</v>
      </c>
      <c r="K317" s="44">
        <v>41628</v>
      </c>
    </row>
    <row r="318" spans="1:12" x14ac:dyDescent="0.25">
      <c r="A318" s="43">
        <v>316</v>
      </c>
      <c r="B318" s="3">
        <v>1</v>
      </c>
      <c r="C318" s="2" t="str">
        <f>VLOOKUP('БАЗА (1)'!B318,'Справочник (2-3)'!$A$3:$B$9,2,FALSE)</f>
        <v>Москва</v>
      </c>
      <c r="D318" s="40">
        <v>42296</v>
      </c>
      <c r="E318" s="2">
        <v>87</v>
      </c>
      <c r="F318" s="9">
        <v>49052</v>
      </c>
      <c r="G318" s="9">
        <f t="shared" si="8"/>
        <v>4267524</v>
      </c>
      <c r="H318" s="2" t="str" cm="1">
        <f t="array" ref="H318">_xlfn.IFS('БАЗА (1)'!G318&gt;10000000,'Справочник (2-3)'!$G$5,AND('БАЗА (1)'!G318&lt;=10000000,'БАЗА (1)'!G318&gt;=5000000),'Справочник (2-3)'!$G$4,'БАЗА (1)'!G318&lt;5000000,'Справочник (2-3)'!$G$3)</f>
        <v>C</v>
      </c>
      <c r="I318" s="2" t="s">
        <v>92</v>
      </c>
      <c r="J318" s="2" t="str">
        <f t="shared" si="9"/>
        <v>Патрушева В. В.</v>
      </c>
      <c r="K318" s="44">
        <v>42296</v>
      </c>
    </row>
    <row r="319" spans="1:12" x14ac:dyDescent="0.25">
      <c r="A319" s="43">
        <v>317</v>
      </c>
      <c r="B319" s="3">
        <v>2</v>
      </c>
      <c r="C319" s="2" t="str">
        <f>VLOOKUP('БАЗА (1)'!B319,'Справочник (2-3)'!$A$3:$B$9,2,FALSE)</f>
        <v>Санкт-Петербург</v>
      </c>
      <c r="D319" s="40">
        <v>43029</v>
      </c>
      <c r="E319" s="2">
        <v>164</v>
      </c>
      <c r="F319" s="9">
        <v>68985</v>
      </c>
      <c r="G319" s="9">
        <f t="shared" si="8"/>
        <v>11313540</v>
      </c>
      <c r="H319" s="2" t="str" cm="1">
        <f t="array" ref="H319">_xlfn.IFS('БАЗА (1)'!G319&gt;10000000,'Справочник (2-3)'!$G$5,AND('БАЗА (1)'!G319&lt;=10000000,'БАЗА (1)'!G319&gt;=5000000),'Справочник (2-3)'!$G$4,'БАЗА (1)'!G319&lt;5000000,'Справочник (2-3)'!$G$3)</f>
        <v>A</v>
      </c>
      <c r="I319" s="2" t="s">
        <v>72</v>
      </c>
      <c r="J319" s="2" t="str">
        <f t="shared" si="9"/>
        <v>Коновалов П. И.</v>
      </c>
      <c r="K319" s="44">
        <v>43029</v>
      </c>
    </row>
    <row r="320" spans="1:12" x14ac:dyDescent="0.25">
      <c r="A320" s="43">
        <v>318</v>
      </c>
      <c r="B320" s="3">
        <v>7</v>
      </c>
      <c r="C320" s="2" t="str">
        <f>VLOOKUP('БАЗА (1)'!B320,'Справочник (2-3)'!$A$3:$B$9,2,FALSE)</f>
        <v>Йошкар-Ола</v>
      </c>
      <c r="D320" s="40">
        <v>43023</v>
      </c>
      <c r="E320" s="2">
        <v>35</v>
      </c>
      <c r="F320" s="9">
        <v>6374</v>
      </c>
      <c r="G320" s="9">
        <f t="shared" si="8"/>
        <v>223090</v>
      </c>
      <c r="H320" s="2" t="str" cm="1">
        <f t="array" ref="H320">_xlfn.IFS('БАЗА (1)'!G320&gt;10000000,'Справочник (2-3)'!$G$5,AND('БАЗА (1)'!G320&lt;=10000000,'БАЗА (1)'!G320&gt;=5000000),'Справочник (2-3)'!$G$4,'БАЗА (1)'!G320&lt;5000000,'Справочник (2-3)'!$G$3)</f>
        <v>C</v>
      </c>
      <c r="I320" s="2" t="s">
        <v>91</v>
      </c>
      <c r="J320" s="2" t="str">
        <f t="shared" si="9"/>
        <v>Паршакова Т. Л.</v>
      </c>
      <c r="K320" s="44">
        <v>43023</v>
      </c>
    </row>
    <row r="321" spans="1:11" x14ac:dyDescent="0.25">
      <c r="A321" s="43">
        <v>319</v>
      </c>
      <c r="B321" s="3">
        <v>2</v>
      </c>
      <c r="C321" s="2" t="str">
        <f>VLOOKUP('БАЗА (1)'!B321,'Справочник (2-3)'!$A$3:$B$9,2,FALSE)</f>
        <v>Санкт-Петербург</v>
      </c>
      <c r="D321" s="40">
        <v>41591</v>
      </c>
      <c r="E321" s="2">
        <v>189</v>
      </c>
      <c r="F321" s="9">
        <v>59646</v>
      </c>
      <c r="G321" s="9">
        <f t="shared" si="8"/>
        <v>11273094</v>
      </c>
      <c r="H321" s="2" t="str" cm="1">
        <f t="array" ref="H321">_xlfn.IFS('БАЗА (1)'!G321&gt;10000000,'Справочник (2-3)'!$G$5,AND('БАЗА (1)'!G321&lt;=10000000,'БАЗА (1)'!G321&gt;=5000000),'Справочник (2-3)'!$G$4,'БАЗА (1)'!G321&lt;5000000,'Справочник (2-3)'!$G$3)</f>
        <v>A</v>
      </c>
      <c r="I321" s="2" t="s">
        <v>51</v>
      </c>
      <c r="J321" s="2" t="str">
        <f t="shared" si="9"/>
        <v>Васнин В. В.</v>
      </c>
      <c r="K321" s="44">
        <v>41591</v>
      </c>
    </row>
    <row r="322" spans="1:11" x14ac:dyDescent="0.25">
      <c r="A322" s="43">
        <v>320</v>
      </c>
      <c r="B322" s="3">
        <v>6</v>
      </c>
      <c r="C322" s="2" t="str">
        <f>VLOOKUP('БАЗА (1)'!B322,'Справочник (2-3)'!$A$3:$B$9,2,FALSE)</f>
        <v>Харьков</v>
      </c>
      <c r="D322" s="40">
        <v>42298</v>
      </c>
      <c r="E322" s="2">
        <v>196</v>
      </c>
      <c r="F322" s="9">
        <v>76965</v>
      </c>
      <c r="G322" s="9">
        <f t="shared" si="8"/>
        <v>15085140</v>
      </c>
      <c r="H322" s="2" t="str" cm="1">
        <f t="array" ref="H322">_xlfn.IFS('БАЗА (1)'!G322&gt;10000000,'Справочник (2-3)'!$G$5,AND('БАЗА (1)'!G322&lt;=10000000,'БАЗА (1)'!G322&gt;=5000000),'Справочник (2-3)'!$G$4,'БАЗА (1)'!G322&lt;5000000,'Справочник (2-3)'!$G$3)</f>
        <v>A</v>
      </c>
      <c r="I322" s="2" t="s">
        <v>66</v>
      </c>
      <c r="J322" s="2" t="str">
        <f t="shared" si="9"/>
        <v>Ильина Т. Н.</v>
      </c>
      <c r="K322" s="44">
        <v>42298</v>
      </c>
    </row>
    <row r="323" spans="1:11" x14ac:dyDescent="0.25">
      <c r="A323" s="43">
        <v>321</v>
      </c>
      <c r="B323" s="3">
        <v>2</v>
      </c>
      <c r="C323" s="2" t="str">
        <f>VLOOKUP('БАЗА (1)'!B323,'Справочник (2-3)'!$A$3:$B$9,2,FALSE)</f>
        <v>Санкт-Петербург</v>
      </c>
      <c r="D323" s="40">
        <v>43054</v>
      </c>
      <c r="E323" s="2">
        <v>39</v>
      </c>
      <c r="F323" s="9">
        <v>64848</v>
      </c>
      <c r="G323" s="9">
        <f t="shared" si="8"/>
        <v>2529072</v>
      </c>
      <c r="H323" s="2" t="str" cm="1">
        <f t="array" ref="H323">_xlfn.IFS('БАЗА (1)'!G323&gt;10000000,'Справочник (2-3)'!$G$5,AND('БАЗА (1)'!G323&lt;=10000000,'БАЗА (1)'!G323&gt;=5000000),'Справочник (2-3)'!$G$4,'БАЗА (1)'!G323&lt;5000000,'Справочник (2-3)'!$G$3)</f>
        <v>C</v>
      </c>
      <c r="I323" s="2" t="s">
        <v>92</v>
      </c>
      <c r="J323" s="2" t="str">
        <f t="shared" si="9"/>
        <v>Патрушева В. В.</v>
      </c>
      <c r="K323" s="44">
        <v>43054</v>
      </c>
    </row>
    <row r="324" spans="1:11" x14ac:dyDescent="0.25">
      <c r="A324" s="43">
        <v>322</v>
      </c>
      <c r="B324" s="3">
        <v>5</v>
      </c>
      <c r="C324" s="2" t="str">
        <f>VLOOKUP('БАЗА (1)'!B324,'Справочник (2-3)'!$A$3:$B$9,2,FALSE)</f>
        <v>Омск</v>
      </c>
      <c r="D324" s="40">
        <v>43026</v>
      </c>
      <c r="E324" s="2">
        <v>82</v>
      </c>
      <c r="F324" s="9">
        <v>52862</v>
      </c>
      <c r="G324" s="9">
        <f t="shared" ref="G324:G335" si="10">E324*F324</f>
        <v>4334684</v>
      </c>
      <c r="H324" s="2" t="str" cm="1">
        <f t="array" ref="H324">_xlfn.IFS('БАЗА (1)'!G324&gt;10000000,'Справочник (2-3)'!$G$5,AND('БАЗА (1)'!G324&lt;=10000000,'БАЗА (1)'!G324&gt;=5000000),'Справочник (2-3)'!$G$4,'БАЗА (1)'!G324&lt;5000000,'Справочник (2-3)'!$G$3)</f>
        <v>C</v>
      </c>
      <c r="I324" s="2" t="s">
        <v>96</v>
      </c>
      <c r="J324" s="2" t="str">
        <f t="shared" ref="J324:J335" si="11">LEFT(I324,FIND(" ",I324)-1)&amp;" "&amp;LEFT(MID(I324,FIND(" ",I324)+1,LEN(I324)),1)&amp;". "&amp;LEFT(MID(I324,FIND(" ",I324,FIND(" ",I324)+1)+1,LEN(I324)),1)&amp;"."</f>
        <v>Подчуфарова Ж. А.</v>
      </c>
      <c r="K324" s="44">
        <v>43026</v>
      </c>
    </row>
    <row r="325" spans="1:11" x14ac:dyDescent="0.25">
      <c r="A325" s="43">
        <v>323</v>
      </c>
      <c r="B325" s="3">
        <v>3</v>
      </c>
      <c r="C325" s="2" t="str">
        <f>VLOOKUP('БАЗА (1)'!B325,'Справочник (2-3)'!$A$3:$B$9,2,FALSE)</f>
        <v>Челябинск</v>
      </c>
      <c r="D325" s="40">
        <v>41560</v>
      </c>
      <c r="E325" s="2">
        <v>99</v>
      </c>
      <c r="F325" s="9">
        <v>47696</v>
      </c>
      <c r="G325" s="9">
        <f t="shared" si="10"/>
        <v>4721904</v>
      </c>
      <c r="H325" s="2" t="str" cm="1">
        <f t="array" ref="H325">_xlfn.IFS('БАЗА (1)'!G325&gt;10000000,'Справочник (2-3)'!$G$5,AND('БАЗА (1)'!G325&lt;=10000000,'БАЗА (1)'!G325&gt;=5000000),'Справочник (2-3)'!$G$4,'БАЗА (1)'!G325&lt;5000000,'Справочник (2-3)'!$G$3)</f>
        <v>C</v>
      </c>
      <c r="I325" s="2" t="s">
        <v>73</v>
      </c>
      <c r="J325" s="2" t="str">
        <f t="shared" si="11"/>
        <v>Королев А. М.</v>
      </c>
      <c r="K325" s="44">
        <v>41560</v>
      </c>
    </row>
    <row r="326" spans="1:11" x14ac:dyDescent="0.25">
      <c r="A326" s="43">
        <v>324</v>
      </c>
      <c r="B326" s="3">
        <v>5</v>
      </c>
      <c r="C326" s="2" t="str">
        <f>VLOOKUP('БАЗА (1)'!B326,'Справочник (2-3)'!$A$3:$B$9,2,FALSE)</f>
        <v>Омск</v>
      </c>
      <c r="D326" s="40">
        <v>41633</v>
      </c>
      <c r="E326" s="2">
        <v>41</v>
      </c>
      <c r="F326" s="9">
        <v>92568</v>
      </c>
      <c r="G326" s="9">
        <f t="shared" si="10"/>
        <v>3795288</v>
      </c>
      <c r="H326" s="2" t="str" cm="1">
        <f t="array" ref="H326">_xlfn.IFS('БАЗА (1)'!G326&gt;10000000,'Справочник (2-3)'!$G$5,AND('БАЗА (1)'!G326&lt;=10000000,'БАЗА (1)'!G326&gt;=5000000),'Справочник (2-3)'!$G$4,'БАЗА (1)'!G326&lt;5000000,'Справочник (2-3)'!$G$3)</f>
        <v>C</v>
      </c>
      <c r="I326" s="2" t="s">
        <v>47</v>
      </c>
      <c r="J326" s="2" t="str">
        <f t="shared" si="11"/>
        <v>Байбикова Н. М.</v>
      </c>
      <c r="K326" s="44">
        <v>41633</v>
      </c>
    </row>
    <row r="327" spans="1:11" x14ac:dyDescent="0.25">
      <c r="A327" s="43">
        <v>325</v>
      </c>
      <c r="B327" s="3">
        <v>5</v>
      </c>
      <c r="C327" s="2" t="str">
        <f>VLOOKUP('БАЗА (1)'!B327,'Справочник (2-3)'!$A$3:$B$9,2,FALSE)</f>
        <v>Омск</v>
      </c>
      <c r="D327" s="40">
        <v>43060</v>
      </c>
      <c r="E327" s="2">
        <v>124</v>
      </c>
      <c r="F327" s="9">
        <v>39379</v>
      </c>
      <c r="G327" s="9">
        <f t="shared" si="10"/>
        <v>4882996</v>
      </c>
      <c r="H327" s="2" t="str" cm="1">
        <f t="array" ref="H327">_xlfn.IFS('БАЗА (1)'!G327&gt;10000000,'Справочник (2-3)'!$G$5,AND('БАЗА (1)'!G327&lt;=10000000,'БАЗА (1)'!G327&gt;=5000000),'Справочник (2-3)'!$G$4,'БАЗА (1)'!G327&lt;5000000,'Справочник (2-3)'!$G$3)</f>
        <v>C</v>
      </c>
      <c r="I327" s="2" t="s">
        <v>59</v>
      </c>
      <c r="J327" s="2" t="str">
        <f t="shared" si="11"/>
        <v>Демидова Е. Б.</v>
      </c>
      <c r="K327" s="44">
        <v>43060</v>
      </c>
    </row>
    <row r="328" spans="1:11" x14ac:dyDescent="0.25">
      <c r="A328" s="43">
        <v>326</v>
      </c>
      <c r="B328" s="3">
        <v>1</v>
      </c>
      <c r="C328" s="2" t="str">
        <f>VLOOKUP('БАЗА (1)'!B328,'Справочник (2-3)'!$A$3:$B$9,2,FALSE)</f>
        <v>Москва</v>
      </c>
      <c r="D328" s="40">
        <v>42329</v>
      </c>
      <c r="E328" s="2">
        <v>181</v>
      </c>
      <c r="F328" s="9">
        <v>44354</v>
      </c>
      <c r="G328" s="9">
        <f t="shared" si="10"/>
        <v>8028074</v>
      </c>
      <c r="H328" s="2" t="str" cm="1">
        <f t="array" ref="H328">_xlfn.IFS('БАЗА (1)'!G328&gt;10000000,'Справочник (2-3)'!$G$5,AND('БАЗА (1)'!G328&lt;=10000000,'БАЗА (1)'!G328&gt;=5000000),'Справочник (2-3)'!$G$4,'БАЗА (1)'!G328&lt;5000000,'Справочник (2-3)'!$G$3)</f>
        <v>B</v>
      </c>
      <c r="I328" s="2" t="s">
        <v>61</v>
      </c>
      <c r="J328" s="2" t="str">
        <f t="shared" si="11"/>
        <v>Дьякова Т. А.</v>
      </c>
      <c r="K328" s="44">
        <v>42329</v>
      </c>
    </row>
    <row r="329" spans="1:11" x14ac:dyDescent="0.25">
      <c r="A329" s="43">
        <v>327</v>
      </c>
      <c r="B329" s="3">
        <v>4</v>
      </c>
      <c r="C329" s="2" t="str">
        <f>VLOOKUP('БАЗА (1)'!B329,'Справочник (2-3)'!$A$3:$B$9,2,FALSE)</f>
        <v>Казань</v>
      </c>
      <c r="D329" s="40">
        <v>43028</v>
      </c>
      <c r="E329" s="2">
        <v>159</v>
      </c>
      <c r="F329" s="9">
        <v>35070</v>
      </c>
      <c r="G329" s="9">
        <f t="shared" si="10"/>
        <v>5576130</v>
      </c>
      <c r="H329" s="2" t="str" cm="1">
        <f t="array" ref="H329">_xlfn.IFS('БАЗА (1)'!G329&gt;10000000,'Справочник (2-3)'!$G$5,AND('БАЗА (1)'!G329&lt;=10000000,'БАЗА (1)'!G329&gt;=5000000),'Справочник (2-3)'!$G$4,'БАЗА (1)'!G329&lt;5000000,'Справочник (2-3)'!$G$3)</f>
        <v>B</v>
      </c>
      <c r="I329" s="2" t="s">
        <v>55</v>
      </c>
      <c r="J329" s="2" t="str">
        <f t="shared" si="11"/>
        <v>Гордеева А. П.</v>
      </c>
      <c r="K329" s="44">
        <v>43028</v>
      </c>
    </row>
    <row r="330" spans="1:11" x14ac:dyDescent="0.25">
      <c r="A330" s="43">
        <v>328</v>
      </c>
      <c r="B330" s="3">
        <v>3</v>
      </c>
      <c r="C330" s="2" t="str">
        <f>VLOOKUP('БАЗА (1)'!B330,'Справочник (2-3)'!$A$3:$B$9,2,FALSE)</f>
        <v>Челябинск</v>
      </c>
      <c r="D330" s="40">
        <v>41999</v>
      </c>
      <c r="E330" s="2">
        <v>194</v>
      </c>
      <c r="F330" s="9">
        <v>46278</v>
      </c>
      <c r="G330" s="9">
        <f t="shared" si="10"/>
        <v>8977932</v>
      </c>
      <c r="H330" s="2" t="str" cm="1">
        <f t="array" ref="H330">_xlfn.IFS('БАЗА (1)'!G330&gt;10000000,'Справочник (2-3)'!$G$5,AND('БАЗА (1)'!G330&lt;=10000000,'БАЗА (1)'!G330&gt;=5000000),'Справочник (2-3)'!$G$4,'БАЗА (1)'!G330&lt;5000000,'Справочник (2-3)'!$G$3)</f>
        <v>B</v>
      </c>
      <c r="I330" s="2" t="s">
        <v>69</v>
      </c>
      <c r="J330" s="2" t="str">
        <f t="shared" si="11"/>
        <v>Каскеева Е. А.</v>
      </c>
      <c r="K330" s="44">
        <v>41999</v>
      </c>
    </row>
    <row r="331" spans="1:11" x14ac:dyDescent="0.25">
      <c r="A331" s="43">
        <v>329</v>
      </c>
      <c r="B331" s="3">
        <v>6</v>
      </c>
      <c r="C331" s="2" t="str">
        <f>VLOOKUP('БАЗА (1)'!B331,'Справочник (2-3)'!$A$3:$B$9,2,FALSE)</f>
        <v>Харьков</v>
      </c>
      <c r="D331" s="40">
        <v>41936</v>
      </c>
      <c r="E331" s="2">
        <v>110</v>
      </c>
      <c r="F331" s="9">
        <v>61371</v>
      </c>
      <c r="G331" s="9">
        <f t="shared" si="10"/>
        <v>6750810</v>
      </c>
      <c r="H331" s="2" t="str" cm="1">
        <f t="array" ref="H331">_xlfn.IFS('БАЗА (1)'!G331&gt;10000000,'Справочник (2-3)'!$G$5,AND('БАЗА (1)'!G331&lt;=10000000,'БАЗА (1)'!G331&gt;=5000000),'Справочник (2-3)'!$G$4,'БАЗА (1)'!G331&lt;5000000,'Справочник (2-3)'!$G$3)</f>
        <v>B</v>
      </c>
      <c r="I331" s="2" t="s">
        <v>76</v>
      </c>
      <c r="J331" s="2" t="str">
        <f t="shared" si="11"/>
        <v>Лакеенков Д. В.</v>
      </c>
      <c r="K331" s="44">
        <v>41936</v>
      </c>
    </row>
    <row r="332" spans="1:11" x14ac:dyDescent="0.25">
      <c r="A332" s="43">
        <v>330</v>
      </c>
      <c r="B332" s="3">
        <v>2</v>
      </c>
      <c r="C332" s="2" t="str">
        <f>VLOOKUP('БАЗА (1)'!B332,'Справочник (2-3)'!$A$3:$B$9,2,FALSE)</f>
        <v>Санкт-Петербург</v>
      </c>
      <c r="D332" s="40">
        <v>42333</v>
      </c>
      <c r="E332" s="2">
        <v>102</v>
      </c>
      <c r="F332" s="9">
        <v>99569</v>
      </c>
      <c r="G332" s="9">
        <f t="shared" si="10"/>
        <v>10156038</v>
      </c>
      <c r="H332" s="2" t="str" cm="1">
        <f t="array" ref="H332">_xlfn.IFS('БАЗА (1)'!G332&gt;10000000,'Справочник (2-3)'!$G$5,AND('БАЗА (1)'!G332&lt;=10000000,'БАЗА (1)'!G332&gt;=5000000),'Справочник (2-3)'!$G$4,'БАЗА (1)'!G332&lt;5000000,'Справочник (2-3)'!$G$3)</f>
        <v>A</v>
      </c>
      <c r="I332" s="2" t="s">
        <v>83</v>
      </c>
      <c r="J332" s="2" t="str">
        <f t="shared" si="11"/>
        <v>Мец В. П.</v>
      </c>
      <c r="K332" s="44">
        <v>42333</v>
      </c>
    </row>
    <row r="333" spans="1:11" x14ac:dyDescent="0.25">
      <c r="A333" s="43">
        <v>331</v>
      </c>
      <c r="B333" s="3">
        <v>6</v>
      </c>
      <c r="C333" s="2" t="str">
        <f>VLOOKUP('БАЗА (1)'!B333,'Справочник (2-3)'!$A$3:$B$9,2,FALSE)</f>
        <v>Харьков</v>
      </c>
      <c r="D333" s="40">
        <v>43092</v>
      </c>
      <c r="E333" s="2">
        <v>132</v>
      </c>
      <c r="F333" s="9">
        <v>89461</v>
      </c>
      <c r="G333" s="9">
        <f t="shared" si="10"/>
        <v>11808852</v>
      </c>
      <c r="H333" s="2" t="str" cm="1">
        <f t="array" ref="H333">_xlfn.IFS('БАЗА (1)'!G333&gt;10000000,'Справочник (2-3)'!$G$5,AND('БАЗА (1)'!G333&lt;=10000000,'БАЗА (1)'!G333&gt;=5000000),'Справочник (2-3)'!$G$4,'БАЗА (1)'!G333&lt;5000000,'Справочник (2-3)'!$G$3)</f>
        <v>A</v>
      </c>
      <c r="I333" s="2" t="s">
        <v>70</v>
      </c>
      <c r="J333" s="2" t="str">
        <f t="shared" si="11"/>
        <v>Каячева М. В.</v>
      </c>
      <c r="K333" s="44">
        <v>43092</v>
      </c>
    </row>
    <row r="334" spans="1:11" x14ac:dyDescent="0.25">
      <c r="A334" s="43">
        <v>332</v>
      </c>
      <c r="B334" s="3">
        <v>6</v>
      </c>
      <c r="C334" s="2" t="str">
        <f>VLOOKUP('БАЗА (1)'!B334,'Справочник (2-3)'!$A$3:$B$9,2,FALSE)</f>
        <v>Харьков</v>
      </c>
      <c r="D334" s="40">
        <v>42333</v>
      </c>
      <c r="E334" s="2">
        <v>161</v>
      </c>
      <c r="F334" s="9">
        <v>41411</v>
      </c>
      <c r="G334" s="9">
        <f t="shared" si="10"/>
        <v>6667171</v>
      </c>
      <c r="H334" s="2" t="str" cm="1">
        <f t="array" ref="H334">_xlfn.IFS('БАЗА (1)'!G334&gt;10000000,'Справочник (2-3)'!$G$5,AND('БАЗА (1)'!G334&lt;=10000000,'БАЗА (1)'!G334&gt;=5000000),'Справочник (2-3)'!$G$4,'БАЗА (1)'!G334&lt;5000000,'Справочник (2-3)'!$G$3)</f>
        <v>B</v>
      </c>
      <c r="I334" s="2" t="s">
        <v>67</v>
      </c>
      <c r="J334" s="2" t="str">
        <f t="shared" si="11"/>
        <v>Исцелемова С. А.</v>
      </c>
      <c r="K334" s="44">
        <v>42333</v>
      </c>
    </row>
    <row r="335" spans="1:11" x14ac:dyDescent="0.25">
      <c r="A335" s="49">
        <v>333</v>
      </c>
      <c r="B335" s="50">
        <v>5</v>
      </c>
      <c r="C335" s="51" t="str">
        <f>VLOOKUP('БАЗА (1)'!B335,'Справочник (2-3)'!$A$3:$B$9,2,FALSE)</f>
        <v>Омск</v>
      </c>
      <c r="D335" s="52">
        <v>42299</v>
      </c>
      <c r="E335" s="51">
        <v>178</v>
      </c>
      <c r="F335" s="53">
        <v>48684</v>
      </c>
      <c r="G335" s="53">
        <f t="shared" si="10"/>
        <v>8665752</v>
      </c>
      <c r="H335" s="2" t="str" cm="1">
        <f t="array" ref="H335">_xlfn.IFS('БАЗА (1)'!G335&gt;10000000,'Справочник (2-3)'!$G$5,AND('БАЗА (1)'!G335&lt;=10000000,'БАЗА (1)'!G335&gt;=5000000),'Справочник (2-3)'!$G$4,'БАЗА (1)'!G335&lt;5000000,'Справочник (2-3)'!$G$3)</f>
        <v>B</v>
      </c>
      <c r="I335" s="51" t="s">
        <v>54</v>
      </c>
      <c r="J335" s="51" t="str">
        <f t="shared" si="11"/>
        <v>Голдобина А. В.</v>
      </c>
      <c r="K335" s="54">
        <v>42299</v>
      </c>
    </row>
  </sheetData>
  <mergeCells count="1">
    <mergeCell ref="A1:K1"/>
  </mergeCells>
  <conditionalFormatting sqref="A3:G335">
    <cfRule type="expression" dxfId="1" priority="3">
      <formula>$H3="A"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16"/>
  <sheetViews>
    <sheetView workbookViewId="0">
      <pane ySplit="2" topLeftCell="A3" activePane="bottomLeft" state="frozen"/>
      <selection pane="bottomLeft" activeCell="C11" sqref="C11"/>
    </sheetView>
  </sheetViews>
  <sheetFormatPr defaultColWidth="9.109375" defaultRowHeight="13.2" x14ac:dyDescent="0.25"/>
  <cols>
    <col min="1" max="1" width="11.44140625" style="5" bestFit="1" customWidth="1"/>
    <col min="2" max="2" width="17.44140625" style="6" bestFit="1" customWidth="1"/>
    <col min="3" max="3" width="18.44140625" style="6" bestFit="1" customWidth="1"/>
    <col min="4" max="4" width="2.88671875" style="6" customWidth="1"/>
    <col min="5" max="5" width="2.88671875" style="7" customWidth="1"/>
    <col min="6" max="6" width="2.88671875" style="6" customWidth="1"/>
    <col min="7" max="7" width="7.109375" style="5" bestFit="1" customWidth="1"/>
    <col min="8" max="8" width="17.5546875" style="6" bestFit="1" customWidth="1"/>
    <col min="9" max="16384" width="9.109375" style="6"/>
  </cols>
  <sheetData>
    <row r="1" spans="1:8" x14ac:dyDescent="0.25">
      <c r="A1" s="58" t="s">
        <v>25</v>
      </c>
      <c r="B1" s="58"/>
      <c r="C1" s="58"/>
      <c r="G1" s="58" t="s">
        <v>26</v>
      </c>
      <c r="H1" s="58"/>
    </row>
    <row r="2" spans="1:8" x14ac:dyDescent="0.25">
      <c r="A2" s="4" t="s">
        <v>1</v>
      </c>
      <c r="B2" s="4" t="s">
        <v>2</v>
      </c>
      <c r="C2" s="4" t="s">
        <v>5</v>
      </c>
      <c r="G2" s="4" t="s">
        <v>9</v>
      </c>
      <c r="H2" s="4" t="s">
        <v>10</v>
      </c>
    </row>
    <row r="3" spans="1:8" x14ac:dyDescent="0.25">
      <c r="A3" s="3">
        <v>1</v>
      </c>
      <c r="B3" s="3" t="s">
        <v>6</v>
      </c>
      <c r="C3" s="13">
        <f>SUMIF('БАЗА (1)'!$B$3:$B$335,'Справочник (2-3)'!A3,'БАЗА (1)'!$G$3:$G$335)</f>
        <v>266970131</v>
      </c>
      <c r="G3" s="3" t="s">
        <v>17</v>
      </c>
      <c r="H3" s="8" t="s">
        <v>19</v>
      </c>
    </row>
    <row r="4" spans="1:8" x14ac:dyDescent="0.25">
      <c r="A4" s="3">
        <v>2</v>
      </c>
      <c r="B4" s="3" t="s">
        <v>7</v>
      </c>
      <c r="C4" s="13">
        <f>SUMIF('БАЗА (1)'!$B$3:$B$335,'Справочник (2-3)'!A4,'БАЗА (1)'!$G$3:$G$335)</f>
        <v>290716848</v>
      </c>
      <c r="G4" s="3" t="s">
        <v>16</v>
      </c>
      <c r="H4" s="8" t="s">
        <v>20</v>
      </c>
    </row>
    <row r="5" spans="1:8" x14ac:dyDescent="0.25">
      <c r="A5" s="3">
        <v>3</v>
      </c>
      <c r="B5" s="3" t="s">
        <v>8</v>
      </c>
      <c r="C5" s="13">
        <f>SUMIF('БАЗА (1)'!$B$3:$B$335,'Справочник (2-3)'!A5,'БАЗА (1)'!$G$3:$G$335)</f>
        <v>253001391</v>
      </c>
      <c r="G5" s="3" t="s">
        <v>15</v>
      </c>
      <c r="H5" s="8" t="s">
        <v>18</v>
      </c>
    </row>
    <row r="6" spans="1:8" x14ac:dyDescent="0.25">
      <c r="A6" s="3">
        <v>4</v>
      </c>
      <c r="B6" s="3" t="s">
        <v>11</v>
      </c>
      <c r="C6" s="13">
        <f>SUMIF('БАЗА (1)'!$B$3:$B$335,'Справочник (2-3)'!A6,'БАЗА (1)'!$G$3:$G$335)</f>
        <v>214929352</v>
      </c>
    </row>
    <row r="7" spans="1:8" x14ac:dyDescent="0.25">
      <c r="A7" s="3">
        <v>5</v>
      </c>
      <c r="B7" s="3" t="s">
        <v>12</v>
      </c>
      <c r="C7" s="13">
        <f>SUMIF('БАЗА (1)'!$B$3:$B$335,'Справочник (2-3)'!A7,'БАЗА (1)'!$G$3:$G$335)</f>
        <v>246163431</v>
      </c>
    </row>
    <row r="8" spans="1:8" x14ac:dyDescent="0.25">
      <c r="A8" s="3">
        <v>6</v>
      </c>
      <c r="B8" s="3" t="s">
        <v>13</v>
      </c>
      <c r="C8" s="13">
        <f>SUMIF('БАЗА (1)'!$B$3:$B$335,'Справочник (2-3)'!A8,'БАЗА (1)'!$G$3:$G$335)</f>
        <v>248274523</v>
      </c>
    </row>
    <row r="9" spans="1:8" x14ac:dyDescent="0.25">
      <c r="A9" s="3">
        <v>7</v>
      </c>
      <c r="B9" s="3" t="s">
        <v>14</v>
      </c>
      <c r="C9" s="13">
        <f>SUMIF('БАЗА (1)'!$B$3:$B$335,'Справочник (2-3)'!A9,'БАЗА (1)'!$G$3:$G$335)</f>
        <v>199327111</v>
      </c>
    </row>
    <row r="10" spans="1:8" x14ac:dyDescent="0.25">
      <c r="A10" s="56" t="s">
        <v>24</v>
      </c>
      <c r="B10" s="57"/>
      <c r="C10" s="13">
        <f>SUM(C3:C9)</f>
        <v>1719382787</v>
      </c>
    </row>
    <row r="11" spans="1:8" x14ac:dyDescent="0.25">
      <c r="A11" s="56" t="s">
        <v>27</v>
      </c>
      <c r="B11" s="57"/>
      <c r="C11" s="13">
        <f>MEDIAN(C3:C9)</f>
        <v>248274523</v>
      </c>
    </row>
    <row r="15" spans="1:8" x14ac:dyDescent="0.25">
      <c r="C15" s="15"/>
    </row>
    <row r="16" spans="1:8" x14ac:dyDescent="0.25">
      <c r="C16" s="14"/>
    </row>
  </sheetData>
  <mergeCells count="4">
    <mergeCell ref="A10:B10"/>
    <mergeCell ref="A11:B11"/>
    <mergeCell ref="A1:C1"/>
    <mergeCell ref="G1:H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702"/>
  <sheetViews>
    <sheetView tabSelected="1" topLeftCell="A678" workbookViewId="0">
      <selection activeCell="B688" sqref="B688"/>
    </sheetView>
  </sheetViews>
  <sheetFormatPr defaultColWidth="9.109375" defaultRowHeight="13.2" x14ac:dyDescent="0.25"/>
  <cols>
    <col min="1" max="2" width="12.44140625" style="5" customWidth="1"/>
    <col min="3" max="16384" width="9.109375" style="6"/>
  </cols>
  <sheetData>
    <row r="1" spans="1:2" x14ac:dyDescent="0.25">
      <c r="A1" s="58" t="s">
        <v>34</v>
      </c>
      <c r="B1" s="58"/>
    </row>
    <row r="2" spans="1:2" x14ac:dyDescent="0.25">
      <c r="A2" s="17" t="s">
        <v>32</v>
      </c>
      <c r="B2" s="17" t="s">
        <v>33</v>
      </c>
    </row>
    <row r="3" spans="1:2" x14ac:dyDescent="0.25">
      <c r="A3" s="3">
        <v>887008</v>
      </c>
      <c r="B3" s="3">
        <v>999508</v>
      </c>
    </row>
    <row r="4" spans="1:2" x14ac:dyDescent="0.25">
      <c r="A4" s="3">
        <v>908455</v>
      </c>
      <c r="B4" s="3">
        <v>999153</v>
      </c>
    </row>
    <row r="5" spans="1:2" x14ac:dyDescent="0.25">
      <c r="A5" s="3">
        <v>929031</v>
      </c>
      <c r="B5" s="3">
        <v>999103</v>
      </c>
    </row>
    <row r="6" spans="1:2" x14ac:dyDescent="0.25">
      <c r="A6" s="3">
        <v>830931</v>
      </c>
      <c r="B6" s="3">
        <v>999078</v>
      </c>
    </row>
    <row r="7" spans="1:2" x14ac:dyDescent="0.25">
      <c r="A7" s="3">
        <v>992700</v>
      </c>
      <c r="B7" s="3">
        <v>997513</v>
      </c>
    </row>
    <row r="8" spans="1:2" x14ac:dyDescent="0.25">
      <c r="A8" s="3">
        <v>909318</v>
      </c>
      <c r="B8" s="3">
        <v>997172</v>
      </c>
    </row>
    <row r="9" spans="1:2" x14ac:dyDescent="0.25">
      <c r="A9" s="3">
        <v>892632</v>
      </c>
      <c r="B9" s="3">
        <v>996139</v>
      </c>
    </row>
    <row r="10" spans="1:2" x14ac:dyDescent="0.25">
      <c r="A10" s="3">
        <v>335520</v>
      </c>
      <c r="B10" s="3">
        <v>996120</v>
      </c>
    </row>
    <row r="11" spans="1:2" x14ac:dyDescent="0.25">
      <c r="A11" s="3">
        <v>792721</v>
      </c>
      <c r="B11" s="3">
        <v>993392</v>
      </c>
    </row>
    <row r="12" spans="1:2" x14ac:dyDescent="0.25">
      <c r="A12" s="3">
        <v>34713</v>
      </c>
      <c r="B12" s="3">
        <v>992748</v>
      </c>
    </row>
    <row r="13" spans="1:2" x14ac:dyDescent="0.25">
      <c r="A13" s="3">
        <v>526436</v>
      </c>
      <c r="B13" s="3">
        <v>992700</v>
      </c>
    </row>
    <row r="14" spans="1:2" x14ac:dyDescent="0.25">
      <c r="A14" s="3">
        <v>743470</v>
      </c>
      <c r="B14" s="3">
        <v>992609</v>
      </c>
    </row>
    <row r="15" spans="1:2" x14ac:dyDescent="0.25">
      <c r="A15" s="3">
        <v>897090</v>
      </c>
      <c r="B15" s="3">
        <v>991084</v>
      </c>
    </row>
    <row r="16" spans="1:2" x14ac:dyDescent="0.25">
      <c r="A16" s="3">
        <v>418806</v>
      </c>
      <c r="B16" s="3">
        <v>990833</v>
      </c>
    </row>
    <row r="17" spans="1:2" x14ac:dyDescent="0.25">
      <c r="A17" s="3">
        <v>133972</v>
      </c>
      <c r="B17" s="3">
        <v>989913</v>
      </c>
    </row>
    <row r="18" spans="1:2" x14ac:dyDescent="0.25">
      <c r="A18" s="3">
        <v>487738</v>
      </c>
      <c r="B18" s="3">
        <v>986708</v>
      </c>
    </row>
    <row r="19" spans="1:2" x14ac:dyDescent="0.25">
      <c r="A19" s="3">
        <v>936488</v>
      </c>
      <c r="B19" s="3">
        <v>986531</v>
      </c>
    </row>
    <row r="20" spans="1:2" x14ac:dyDescent="0.25">
      <c r="A20" s="3">
        <v>891504</v>
      </c>
      <c r="B20" s="3">
        <v>986301</v>
      </c>
    </row>
    <row r="21" spans="1:2" x14ac:dyDescent="0.25">
      <c r="A21" s="3">
        <v>513399</v>
      </c>
      <c r="B21" s="3">
        <v>985817</v>
      </c>
    </row>
    <row r="22" spans="1:2" x14ac:dyDescent="0.25">
      <c r="A22" s="3">
        <v>672726</v>
      </c>
      <c r="B22" s="3">
        <v>985508</v>
      </c>
    </row>
    <row r="23" spans="1:2" x14ac:dyDescent="0.25">
      <c r="A23" s="3">
        <v>91088</v>
      </c>
      <c r="B23" s="3">
        <v>984228</v>
      </c>
    </row>
    <row r="24" spans="1:2" x14ac:dyDescent="0.25">
      <c r="A24" s="3">
        <v>992609</v>
      </c>
      <c r="B24" s="3">
        <v>983974</v>
      </c>
    </row>
    <row r="25" spans="1:2" x14ac:dyDescent="0.25">
      <c r="A25" s="3">
        <v>926852</v>
      </c>
      <c r="B25" s="3">
        <v>982063</v>
      </c>
    </row>
    <row r="26" spans="1:2" x14ac:dyDescent="0.25">
      <c r="A26" s="3">
        <v>532311</v>
      </c>
      <c r="B26" s="3">
        <v>979804</v>
      </c>
    </row>
    <row r="27" spans="1:2" x14ac:dyDescent="0.25">
      <c r="A27" s="3">
        <v>734839</v>
      </c>
      <c r="B27" s="3">
        <v>976314</v>
      </c>
    </row>
    <row r="28" spans="1:2" x14ac:dyDescent="0.25">
      <c r="A28" s="3">
        <v>363832</v>
      </c>
      <c r="B28" s="3">
        <v>975861</v>
      </c>
    </row>
    <row r="29" spans="1:2" x14ac:dyDescent="0.25">
      <c r="A29" s="3">
        <v>241303</v>
      </c>
      <c r="B29" s="3">
        <v>975649</v>
      </c>
    </row>
    <row r="30" spans="1:2" x14ac:dyDescent="0.25">
      <c r="A30" s="3">
        <v>800917</v>
      </c>
      <c r="B30" s="3">
        <v>974118</v>
      </c>
    </row>
    <row r="31" spans="1:2" x14ac:dyDescent="0.25">
      <c r="A31" s="3">
        <v>533219</v>
      </c>
      <c r="B31" s="3">
        <v>972704</v>
      </c>
    </row>
    <row r="32" spans="1:2" x14ac:dyDescent="0.25">
      <c r="A32" s="3">
        <v>671068</v>
      </c>
      <c r="B32" s="3">
        <v>972689</v>
      </c>
    </row>
    <row r="33" spans="1:2" x14ac:dyDescent="0.25">
      <c r="A33" s="3">
        <v>704637</v>
      </c>
      <c r="B33" s="3">
        <v>971351</v>
      </c>
    </row>
    <row r="34" spans="1:2" x14ac:dyDescent="0.25">
      <c r="A34" s="3">
        <v>790610</v>
      </c>
      <c r="B34" s="3">
        <v>971122</v>
      </c>
    </row>
    <row r="35" spans="1:2" x14ac:dyDescent="0.25">
      <c r="A35" s="3">
        <v>447054</v>
      </c>
      <c r="B35" s="3">
        <v>969554</v>
      </c>
    </row>
    <row r="36" spans="1:2" x14ac:dyDescent="0.25">
      <c r="A36" s="3">
        <v>522077</v>
      </c>
      <c r="B36" s="3">
        <v>968340</v>
      </c>
    </row>
    <row r="37" spans="1:2" x14ac:dyDescent="0.25">
      <c r="A37" s="3">
        <v>876370</v>
      </c>
      <c r="B37" s="3">
        <v>965995</v>
      </c>
    </row>
    <row r="38" spans="1:2" x14ac:dyDescent="0.25">
      <c r="A38" s="3">
        <v>138092</v>
      </c>
      <c r="B38" s="3">
        <v>964640</v>
      </c>
    </row>
    <row r="39" spans="1:2" x14ac:dyDescent="0.25">
      <c r="A39" s="3">
        <v>109268</v>
      </c>
      <c r="B39" s="3">
        <v>963997</v>
      </c>
    </row>
    <row r="40" spans="1:2" x14ac:dyDescent="0.25">
      <c r="A40" s="3">
        <v>206045</v>
      </c>
      <c r="B40" s="3">
        <v>961965</v>
      </c>
    </row>
    <row r="41" spans="1:2" x14ac:dyDescent="0.25">
      <c r="A41" s="3">
        <v>506042</v>
      </c>
      <c r="B41" s="3">
        <v>961026</v>
      </c>
    </row>
    <row r="42" spans="1:2" x14ac:dyDescent="0.25">
      <c r="A42" s="3">
        <v>636486</v>
      </c>
      <c r="B42" s="3">
        <v>960756</v>
      </c>
    </row>
    <row r="43" spans="1:2" x14ac:dyDescent="0.25">
      <c r="A43" s="3">
        <v>866352</v>
      </c>
      <c r="B43" s="3">
        <v>959287</v>
      </c>
    </row>
    <row r="44" spans="1:2" x14ac:dyDescent="0.25">
      <c r="A44" s="3">
        <v>909815</v>
      </c>
      <c r="B44" s="3">
        <v>959067</v>
      </c>
    </row>
    <row r="45" spans="1:2" x14ac:dyDescent="0.25">
      <c r="A45" s="3">
        <v>959067</v>
      </c>
      <c r="B45" s="3">
        <v>958676</v>
      </c>
    </row>
    <row r="46" spans="1:2" x14ac:dyDescent="0.25">
      <c r="A46" s="3">
        <v>643144</v>
      </c>
      <c r="B46" s="3">
        <v>958554</v>
      </c>
    </row>
    <row r="47" spans="1:2" x14ac:dyDescent="0.25">
      <c r="A47" s="3">
        <v>922871</v>
      </c>
      <c r="B47" s="3">
        <v>957179</v>
      </c>
    </row>
    <row r="48" spans="1:2" x14ac:dyDescent="0.25">
      <c r="A48" s="3">
        <v>324424</v>
      </c>
      <c r="B48" s="3">
        <v>955642</v>
      </c>
    </row>
    <row r="49" spans="1:2" x14ac:dyDescent="0.25">
      <c r="A49" s="3">
        <v>146577</v>
      </c>
      <c r="B49" s="3">
        <v>954987</v>
      </c>
    </row>
    <row r="50" spans="1:2" x14ac:dyDescent="0.25">
      <c r="A50" s="3">
        <v>324646</v>
      </c>
      <c r="B50" s="3">
        <v>954629</v>
      </c>
    </row>
    <row r="51" spans="1:2" x14ac:dyDescent="0.25">
      <c r="A51" s="3">
        <v>655962</v>
      </c>
      <c r="B51" s="3">
        <v>952082</v>
      </c>
    </row>
    <row r="52" spans="1:2" x14ac:dyDescent="0.25">
      <c r="A52" s="3">
        <v>747784</v>
      </c>
      <c r="B52" s="3">
        <v>951663</v>
      </c>
    </row>
    <row r="53" spans="1:2" x14ac:dyDescent="0.25">
      <c r="A53" s="3">
        <v>299665</v>
      </c>
      <c r="B53" s="3">
        <v>951603</v>
      </c>
    </row>
    <row r="54" spans="1:2" x14ac:dyDescent="0.25">
      <c r="A54" s="3">
        <v>547837</v>
      </c>
      <c r="B54" s="3">
        <v>951365</v>
      </c>
    </row>
    <row r="55" spans="1:2" x14ac:dyDescent="0.25">
      <c r="A55" s="3">
        <v>990833</v>
      </c>
      <c r="B55" s="3">
        <v>948312</v>
      </c>
    </row>
    <row r="56" spans="1:2" x14ac:dyDescent="0.25">
      <c r="A56" s="3">
        <v>496083</v>
      </c>
      <c r="B56" s="3">
        <v>947444</v>
      </c>
    </row>
    <row r="57" spans="1:2" x14ac:dyDescent="0.25">
      <c r="A57" s="3">
        <v>268789</v>
      </c>
      <c r="B57" s="3">
        <v>946407</v>
      </c>
    </row>
    <row r="58" spans="1:2" x14ac:dyDescent="0.25">
      <c r="A58" s="3">
        <v>745241</v>
      </c>
      <c r="B58" s="3">
        <v>943252</v>
      </c>
    </row>
    <row r="59" spans="1:2" x14ac:dyDescent="0.25">
      <c r="A59" s="3">
        <v>295954</v>
      </c>
      <c r="B59" s="3">
        <v>939270</v>
      </c>
    </row>
    <row r="60" spans="1:2" x14ac:dyDescent="0.25">
      <c r="A60" s="3">
        <v>493160</v>
      </c>
      <c r="B60" s="3">
        <v>937315</v>
      </c>
    </row>
    <row r="61" spans="1:2" x14ac:dyDescent="0.25">
      <c r="A61" s="3">
        <v>186474</v>
      </c>
      <c r="B61" s="3">
        <v>937003</v>
      </c>
    </row>
    <row r="62" spans="1:2" x14ac:dyDescent="0.25">
      <c r="A62" s="3">
        <v>275994</v>
      </c>
      <c r="B62" s="3">
        <v>936488</v>
      </c>
    </row>
    <row r="63" spans="1:2" x14ac:dyDescent="0.25">
      <c r="A63" s="3">
        <v>498264</v>
      </c>
      <c r="B63" s="3">
        <v>932479</v>
      </c>
    </row>
    <row r="64" spans="1:2" x14ac:dyDescent="0.25">
      <c r="A64" s="3">
        <v>732615</v>
      </c>
      <c r="B64" s="3">
        <v>929031</v>
      </c>
    </row>
    <row r="65" spans="1:2" x14ac:dyDescent="0.25">
      <c r="A65" s="3">
        <v>989913</v>
      </c>
      <c r="B65" s="3">
        <v>929016</v>
      </c>
    </row>
    <row r="66" spans="1:2" x14ac:dyDescent="0.25">
      <c r="A66" s="3">
        <v>237222</v>
      </c>
      <c r="B66" s="3">
        <v>928276</v>
      </c>
    </row>
    <row r="67" spans="1:2" x14ac:dyDescent="0.25">
      <c r="A67" s="3">
        <v>818032</v>
      </c>
      <c r="B67" s="3">
        <v>928108</v>
      </c>
    </row>
    <row r="68" spans="1:2" x14ac:dyDescent="0.25">
      <c r="A68" s="3">
        <v>607777</v>
      </c>
      <c r="B68" s="3">
        <v>927759</v>
      </c>
    </row>
    <row r="69" spans="1:2" x14ac:dyDescent="0.25">
      <c r="A69" s="3">
        <v>47412</v>
      </c>
      <c r="B69" s="3">
        <v>926852</v>
      </c>
    </row>
    <row r="70" spans="1:2" x14ac:dyDescent="0.25">
      <c r="A70" s="3">
        <v>114284</v>
      </c>
      <c r="B70" s="3">
        <v>925872</v>
      </c>
    </row>
    <row r="71" spans="1:2" x14ac:dyDescent="0.25">
      <c r="A71" s="3">
        <v>574363</v>
      </c>
      <c r="B71" s="3">
        <v>922886</v>
      </c>
    </row>
    <row r="72" spans="1:2" x14ac:dyDescent="0.25">
      <c r="A72" s="3">
        <v>253414</v>
      </c>
      <c r="B72" s="3">
        <v>922871</v>
      </c>
    </row>
    <row r="73" spans="1:2" x14ac:dyDescent="0.25">
      <c r="A73" s="3">
        <v>459653</v>
      </c>
      <c r="B73" s="3">
        <v>921384</v>
      </c>
    </row>
    <row r="74" spans="1:2" x14ac:dyDescent="0.25">
      <c r="A74" s="3">
        <v>329547</v>
      </c>
      <c r="B74" s="3">
        <v>919721</v>
      </c>
    </row>
    <row r="75" spans="1:2" x14ac:dyDescent="0.25">
      <c r="A75" s="3">
        <v>343318</v>
      </c>
      <c r="B75" s="3">
        <v>919342</v>
      </c>
    </row>
    <row r="76" spans="1:2" x14ac:dyDescent="0.25">
      <c r="A76" s="3">
        <v>496841</v>
      </c>
      <c r="B76" s="3">
        <v>918640</v>
      </c>
    </row>
    <row r="77" spans="1:2" x14ac:dyDescent="0.25">
      <c r="A77" s="3">
        <v>471547</v>
      </c>
      <c r="B77" s="3">
        <v>916545</v>
      </c>
    </row>
    <row r="78" spans="1:2" x14ac:dyDescent="0.25">
      <c r="A78" s="3">
        <v>344070</v>
      </c>
      <c r="B78" s="3">
        <v>916265</v>
      </c>
    </row>
    <row r="79" spans="1:2" x14ac:dyDescent="0.25">
      <c r="A79" s="3">
        <v>21425</v>
      </c>
      <c r="B79" s="3">
        <v>912376</v>
      </c>
    </row>
    <row r="80" spans="1:2" x14ac:dyDescent="0.25">
      <c r="A80" s="3">
        <v>947444</v>
      </c>
      <c r="B80" s="3">
        <v>911907</v>
      </c>
    </row>
    <row r="81" spans="1:2" x14ac:dyDescent="0.25">
      <c r="A81" s="3">
        <v>355666</v>
      </c>
      <c r="B81" s="3">
        <v>909815</v>
      </c>
    </row>
    <row r="82" spans="1:2" x14ac:dyDescent="0.25">
      <c r="A82" s="3">
        <v>703092</v>
      </c>
      <c r="B82" s="3">
        <v>909318</v>
      </c>
    </row>
    <row r="83" spans="1:2" x14ac:dyDescent="0.25">
      <c r="A83" s="3">
        <v>709726</v>
      </c>
      <c r="B83" s="3">
        <v>908455</v>
      </c>
    </row>
    <row r="84" spans="1:2" x14ac:dyDescent="0.25">
      <c r="A84" s="3">
        <v>95507</v>
      </c>
      <c r="B84" s="3">
        <v>900050</v>
      </c>
    </row>
    <row r="85" spans="1:2" x14ac:dyDescent="0.25">
      <c r="A85" s="3">
        <v>227830</v>
      </c>
      <c r="B85" s="3">
        <v>898320</v>
      </c>
    </row>
    <row r="86" spans="1:2" x14ac:dyDescent="0.25">
      <c r="A86" s="3">
        <v>70178</v>
      </c>
      <c r="B86" s="3">
        <v>897090</v>
      </c>
    </row>
    <row r="87" spans="1:2" x14ac:dyDescent="0.25">
      <c r="A87" s="3">
        <v>870839</v>
      </c>
      <c r="B87" s="3">
        <v>895183</v>
      </c>
    </row>
    <row r="88" spans="1:2" x14ac:dyDescent="0.25">
      <c r="A88" s="3">
        <v>764360</v>
      </c>
      <c r="B88" s="3">
        <v>893751</v>
      </c>
    </row>
    <row r="89" spans="1:2" x14ac:dyDescent="0.25">
      <c r="A89" s="3">
        <v>94139</v>
      </c>
      <c r="B89" s="3">
        <v>892632</v>
      </c>
    </row>
    <row r="90" spans="1:2" x14ac:dyDescent="0.25">
      <c r="A90" s="3">
        <v>808991</v>
      </c>
      <c r="B90" s="3">
        <v>891704</v>
      </c>
    </row>
    <row r="91" spans="1:2" x14ac:dyDescent="0.25">
      <c r="A91" s="3">
        <v>814124</v>
      </c>
      <c r="B91" s="3">
        <v>891504</v>
      </c>
    </row>
    <row r="92" spans="1:2" x14ac:dyDescent="0.25">
      <c r="A92" s="3">
        <v>736599</v>
      </c>
      <c r="B92" s="3">
        <v>887691</v>
      </c>
    </row>
    <row r="93" spans="1:2" x14ac:dyDescent="0.25">
      <c r="A93" s="3">
        <v>566750</v>
      </c>
      <c r="B93" s="3">
        <v>887008</v>
      </c>
    </row>
    <row r="94" spans="1:2" x14ac:dyDescent="0.25">
      <c r="A94" s="3">
        <v>63150</v>
      </c>
      <c r="B94" s="3">
        <v>886632</v>
      </c>
    </row>
    <row r="95" spans="1:2" x14ac:dyDescent="0.25">
      <c r="A95" s="3">
        <v>691201</v>
      </c>
      <c r="B95" s="3">
        <v>883341</v>
      </c>
    </row>
    <row r="96" spans="1:2" x14ac:dyDescent="0.25">
      <c r="A96" s="3">
        <v>790347</v>
      </c>
      <c r="B96" s="3">
        <v>881957</v>
      </c>
    </row>
    <row r="97" spans="1:2" x14ac:dyDescent="0.25">
      <c r="A97" s="3">
        <v>471675</v>
      </c>
      <c r="B97" s="3">
        <v>879809</v>
      </c>
    </row>
    <row r="98" spans="1:2" x14ac:dyDescent="0.25">
      <c r="A98" s="3">
        <v>144915</v>
      </c>
      <c r="B98" s="3">
        <v>877295</v>
      </c>
    </row>
    <row r="99" spans="1:2" x14ac:dyDescent="0.25">
      <c r="A99" s="3">
        <v>203250</v>
      </c>
      <c r="B99" s="3">
        <v>876370</v>
      </c>
    </row>
    <row r="100" spans="1:2" x14ac:dyDescent="0.25">
      <c r="A100" s="3">
        <v>221525</v>
      </c>
      <c r="B100" s="3">
        <v>875632</v>
      </c>
    </row>
    <row r="101" spans="1:2" x14ac:dyDescent="0.25">
      <c r="A101" s="3">
        <v>334962</v>
      </c>
      <c r="B101" s="3">
        <v>875478</v>
      </c>
    </row>
    <row r="102" spans="1:2" x14ac:dyDescent="0.25">
      <c r="A102" s="3">
        <v>82045</v>
      </c>
      <c r="B102" s="3">
        <v>875305</v>
      </c>
    </row>
    <row r="103" spans="1:2" x14ac:dyDescent="0.25">
      <c r="A103" s="3">
        <v>518934</v>
      </c>
      <c r="B103" s="3">
        <v>874568</v>
      </c>
    </row>
    <row r="104" spans="1:2" x14ac:dyDescent="0.25">
      <c r="A104" s="3">
        <v>79186</v>
      </c>
      <c r="B104" s="3">
        <v>872139</v>
      </c>
    </row>
    <row r="105" spans="1:2" x14ac:dyDescent="0.25">
      <c r="A105" s="3">
        <v>568406</v>
      </c>
      <c r="B105" s="3">
        <v>870839</v>
      </c>
    </row>
    <row r="106" spans="1:2" x14ac:dyDescent="0.25">
      <c r="A106" s="3">
        <v>94500</v>
      </c>
      <c r="B106" s="3">
        <v>870296</v>
      </c>
    </row>
    <row r="107" spans="1:2" x14ac:dyDescent="0.25">
      <c r="A107" s="3">
        <v>94731</v>
      </c>
      <c r="B107" s="3">
        <v>868728</v>
      </c>
    </row>
    <row r="108" spans="1:2" x14ac:dyDescent="0.25">
      <c r="A108" s="3">
        <v>251925</v>
      </c>
      <c r="B108" s="3">
        <v>868516</v>
      </c>
    </row>
    <row r="109" spans="1:2" x14ac:dyDescent="0.25">
      <c r="A109" s="3">
        <v>916545</v>
      </c>
      <c r="B109" s="3">
        <v>867547</v>
      </c>
    </row>
    <row r="110" spans="1:2" x14ac:dyDescent="0.25">
      <c r="A110" s="3">
        <v>416913</v>
      </c>
      <c r="B110" s="3">
        <v>866352</v>
      </c>
    </row>
    <row r="111" spans="1:2" x14ac:dyDescent="0.25">
      <c r="A111" s="3">
        <v>700493</v>
      </c>
      <c r="B111" s="3">
        <v>866034</v>
      </c>
    </row>
    <row r="112" spans="1:2" x14ac:dyDescent="0.25">
      <c r="A112" s="3">
        <v>999103</v>
      </c>
      <c r="B112" s="3">
        <v>865839</v>
      </c>
    </row>
    <row r="113" spans="1:2" x14ac:dyDescent="0.25">
      <c r="A113" s="3">
        <v>794230</v>
      </c>
      <c r="B113" s="3">
        <v>864233</v>
      </c>
    </row>
    <row r="114" spans="1:2" x14ac:dyDescent="0.25">
      <c r="A114" s="3">
        <v>636985</v>
      </c>
      <c r="B114" s="3">
        <v>863214</v>
      </c>
    </row>
    <row r="115" spans="1:2" x14ac:dyDescent="0.25">
      <c r="A115" s="3">
        <v>14138</v>
      </c>
      <c r="B115" s="3">
        <v>860561</v>
      </c>
    </row>
    <row r="116" spans="1:2" x14ac:dyDescent="0.25">
      <c r="A116" s="3">
        <v>937315</v>
      </c>
      <c r="B116" s="3">
        <v>860263</v>
      </c>
    </row>
    <row r="117" spans="1:2" x14ac:dyDescent="0.25">
      <c r="A117" s="3">
        <v>351670</v>
      </c>
      <c r="B117" s="3">
        <v>859873</v>
      </c>
    </row>
    <row r="118" spans="1:2" x14ac:dyDescent="0.25">
      <c r="A118" s="3">
        <v>242587</v>
      </c>
      <c r="B118" s="3">
        <v>857077</v>
      </c>
    </row>
    <row r="119" spans="1:2" x14ac:dyDescent="0.25">
      <c r="A119" s="3">
        <v>387501</v>
      </c>
      <c r="B119" s="3">
        <v>854386</v>
      </c>
    </row>
    <row r="120" spans="1:2" x14ac:dyDescent="0.25">
      <c r="A120" s="3">
        <v>59706</v>
      </c>
      <c r="B120" s="3">
        <v>847965</v>
      </c>
    </row>
    <row r="121" spans="1:2" x14ac:dyDescent="0.25">
      <c r="A121" s="3">
        <v>618094</v>
      </c>
      <c r="B121" s="3">
        <v>847143</v>
      </c>
    </row>
    <row r="122" spans="1:2" x14ac:dyDescent="0.25">
      <c r="A122" s="3">
        <v>74754</v>
      </c>
      <c r="B122" s="3">
        <v>846854</v>
      </c>
    </row>
    <row r="123" spans="1:2" x14ac:dyDescent="0.25">
      <c r="A123" s="3">
        <v>430596</v>
      </c>
      <c r="B123" s="3">
        <v>846507</v>
      </c>
    </row>
    <row r="124" spans="1:2" x14ac:dyDescent="0.25">
      <c r="A124" s="3">
        <v>249116</v>
      </c>
      <c r="B124" s="3">
        <v>846438</v>
      </c>
    </row>
    <row r="125" spans="1:2" x14ac:dyDescent="0.25">
      <c r="A125" s="3">
        <v>634428</v>
      </c>
      <c r="B125" s="3">
        <v>846073</v>
      </c>
    </row>
    <row r="126" spans="1:2" x14ac:dyDescent="0.25">
      <c r="A126" s="3">
        <v>841316</v>
      </c>
      <c r="B126" s="3">
        <v>844834</v>
      </c>
    </row>
    <row r="127" spans="1:2" x14ac:dyDescent="0.25">
      <c r="A127" s="3">
        <v>795633</v>
      </c>
      <c r="B127" s="3">
        <v>843557</v>
      </c>
    </row>
    <row r="128" spans="1:2" x14ac:dyDescent="0.25">
      <c r="A128" s="3">
        <v>868728</v>
      </c>
      <c r="B128" s="3">
        <v>841316</v>
      </c>
    </row>
    <row r="129" spans="1:2" x14ac:dyDescent="0.25">
      <c r="A129" s="3">
        <v>416239</v>
      </c>
      <c r="B129" s="3">
        <v>841008</v>
      </c>
    </row>
    <row r="130" spans="1:2" x14ac:dyDescent="0.25">
      <c r="A130" s="3">
        <v>684153</v>
      </c>
      <c r="B130" s="3">
        <v>839798</v>
      </c>
    </row>
    <row r="131" spans="1:2" x14ac:dyDescent="0.25">
      <c r="A131" s="3">
        <v>475870</v>
      </c>
      <c r="B131" s="3">
        <v>839379</v>
      </c>
    </row>
    <row r="132" spans="1:2" x14ac:dyDescent="0.25">
      <c r="A132" s="3">
        <v>846507</v>
      </c>
      <c r="B132" s="3">
        <v>838568</v>
      </c>
    </row>
    <row r="133" spans="1:2" x14ac:dyDescent="0.25">
      <c r="A133" s="3">
        <v>785600</v>
      </c>
      <c r="B133" s="3">
        <v>838447</v>
      </c>
    </row>
    <row r="134" spans="1:2" x14ac:dyDescent="0.25">
      <c r="A134" s="3">
        <v>963997</v>
      </c>
      <c r="B134" s="3">
        <v>837920</v>
      </c>
    </row>
    <row r="135" spans="1:2" x14ac:dyDescent="0.25">
      <c r="A135" s="3">
        <v>961965</v>
      </c>
      <c r="B135" s="3">
        <v>836848</v>
      </c>
    </row>
    <row r="136" spans="1:2" x14ac:dyDescent="0.25">
      <c r="A136" s="3">
        <v>647165</v>
      </c>
      <c r="B136" s="3">
        <v>836201</v>
      </c>
    </row>
    <row r="137" spans="1:2" x14ac:dyDescent="0.25">
      <c r="A137" s="3">
        <v>955642</v>
      </c>
      <c r="B137" s="3">
        <v>835290</v>
      </c>
    </row>
    <row r="138" spans="1:2" x14ac:dyDescent="0.25">
      <c r="A138" s="3">
        <v>23009</v>
      </c>
      <c r="B138" s="3">
        <v>835082</v>
      </c>
    </row>
    <row r="139" spans="1:2" x14ac:dyDescent="0.25">
      <c r="A139" s="3">
        <v>205841</v>
      </c>
      <c r="B139" s="3">
        <v>834763</v>
      </c>
    </row>
    <row r="140" spans="1:2" x14ac:dyDescent="0.25">
      <c r="A140" s="3">
        <v>164066</v>
      </c>
      <c r="B140" s="3">
        <v>833955</v>
      </c>
    </row>
    <row r="141" spans="1:2" x14ac:dyDescent="0.25">
      <c r="A141" s="3">
        <v>577309</v>
      </c>
      <c r="B141" s="3">
        <v>833580</v>
      </c>
    </row>
    <row r="142" spans="1:2" x14ac:dyDescent="0.25">
      <c r="A142" s="3">
        <v>821048</v>
      </c>
      <c r="B142" s="3">
        <v>833538</v>
      </c>
    </row>
    <row r="143" spans="1:2" x14ac:dyDescent="0.25">
      <c r="A143" s="3">
        <v>772268</v>
      </c>
      <c r="B143" s="3">
        <v>831166</v>
      </c>
    </row>
    <row r="144" spans="1:2" x14ac:dyDescent="0.25">
      <c r="A144" s="3">
        <v>486707</v>
      </c>
      <c r="B144" s="3">
        <v>830931</v>
      </c>
    </row>
    <row r="145" spans="1:2" x14ac:dyDescent="0.25">
      <c r="A145" s="3">
        <v>370780</v>
      </c>
      <c r="B145" s="3">
        <v>828124</v>
      </c>
    </row>
    <row r="146" spans="1:2" x14ac:dyDescent="0.25">
      <c r="A146" s="3">
        <v>806097</v>
      </c>
      <c r="B146" s="3">
        <v>825835</v>
      </c>
    </row>
    <row r="147" spans="1:2" x14ac:dyDescent="0.25">
      <c r="A147" s="3">
        <v>411979</v>
      </c>
      <c r="B147" s="3">
        <v>824695</v>
      </c>
    </row>
    <row r="148" spans="1:2" x14ac:dyDescent="0.25">
      <c r="A148" s="3">
        <v>708733</v>
      </c>
      <c r="B148" s="3">
        <v>823917</v>
      </c>
    </row>
    <row r="149" spans="1:2" x14ac:dyDescent="0.25">
      <c r="A149" s="3">
        <v>866034</v>
      </c>
      <c r="B149" s="3">
        <v>823804</v>
      </c>
    </row>
    <row r="150" spans="1:2" x14ac:dyDescent="0.25">
      <c r="A150" s="3">
        <v>631379</v>
      </c>
      <c r="B150" s="3">
        <v>821437</v>
      </c>
    </row>
    <row r="151" spans="1:2" x14ac:dyDescent="0.25">
      <c r="A151" s="3">
        <v>274594</v>
      </c>
      <c r="B151" s="3">
        <v>821048</v>
      </c>
    </row>
    <row r="152" spans="1:2" x14ac:dyDescent="0.25">
      <c r="A152" s="3">
        <v>628495</v>
      </c>
      <c r="B152" s="3">
        <v>819434</v>
      </c>
    </row>
    <row r="153" spans="1:2" x14ac:dyDescent="0.25">
      <c r="A153" s="3">
        <v>566283</v>
      </c>
      <c r="B153" s="3">
        <v>818032</v>
      </c>
    </row>
    <row r="154" spans="1:2" x14ac:dyDescent="0.25">
      <c r="A154" s="3">
        <v>482195</v>
      </c>
      <c r="B154" s="3">
        <v>817086</v>
      </c>
    </row>
    <row r="155" spans="1:2" x14ac:dyDescent="0.25">
      <c r="A155" s="3">
        <v>457460</v>
      </c>
      <c r="B155" s="3">
        <v>816568</v>
      </c>
    </row>
    <row r="156" spans="1:2" x14ac:dyDescent="0.25">
      <c r="A156" s="3">
        <v>511660</v>
      </c>
      <c r="B156" s="3">
        <v>816152</v>
      </c>
    </row>
    <row r="157" spans="1:2" x14ac:dyDescent="0.25">
      <c r="A157" s="3">
        <v>976314</v>
      </c>
      <c r="B157" s="3">
        <v>814124</v>
      </c>
    </row>
    <row r="158" spans="1:2" x14ac:dyDescent="0.25">
      <c r="A158" s="3">
        <v>58651</v>
      </c>
      <c r="B158" s="3">
        <v>813809</v>
      </c>
    </row>
    <row r="159" spans="1:2" x14ac:dyDescent="0.25">
      <c r="A159" s="3">
        <v>479111</v>
      </c>
      <c r="B159" s="3">
        <v>811943</v>
      </c>
    </row>
    <row r="160" spans="1:2" x14ac:dyDescent="0.25">
      <c r="A160" s="3">
        <v>391748</v>
      </c>
      <c r="B160" s="3">
        <v>810158</v>
      </c>
    </row>
    <row r="161" spans="1:2" x14ac:dyDescent="0.25">
      <c r="A161" s="3">
        <v>317523</v>
      </c>
      <c r="B161" s="3">
        <v>808991</v>
      </c>
    </row>
    <row r="162" spans="1:2" x14ac:dyDescent="0.25">
      <c r="A162" s="3">
        <v>992748</v>
      </c>
      <c r="B162" s="3">
        <v>807805</v>
      </c>
    </row>
    <row r="163" spans="1:2" x14ac:dyDescent="0.25">
      <c r="A163" s="3">
        <v>474360</v>
      </c>
      <c r="B163" s="3">
        <v>806097</v>
      </c>
    </row>
    <row r="164" spans="1:2" x14ac:dyDescent="0.25">
      <c r="A164" s="3">
        <v>745919</v>
      </c>
      <c r="B164" s="3">
        <v>805186</v>
      </c>
    </row>
    <row r="165" spans="1:2" x14ac:dyDescent="0.25">
      <c r="A165" s="3">
        <v>539138</v>
      </c>
      <c r="B165" s="3">
        <v>804454</v>
      </c>
    </row>
    <row r="166" spans="1:2" x14ac:dyDescent="0.25">
      <c r="A166" s="3">
        <v>971122</v>
      </c>
      <c r="B166" s="3">
        <v>800917</v>
      </c>
    </row>
    <row r="167" spans="1:2" x14ac:dyDescent="0.25">
      <c r="A167" s="3">
        <v>833955</v>
      </c>
      <c r="B167" s="3">
        <v>795782</v>
      </c>
    </row>
    <row r="168" spans="1:2" x14ac:dyDescent="0.25">
      <c r="A168" s="3">
        <v>713432</v>
      </c>
      <c r="B168" s="3">
        <v>795633</v>
      </c>
    </row>
    <row r="169" spans="1:2" x14ac:dyDescent="0.25">
      <c r="A169" s="3">
        <v>299381</v>
      </c>
      <c r="B169" s="3">
        <v>794233</v>
      </c>
    </row>
    <row r="170" spans="1:2" x14ac:dyDescent="0.25">
      <c r="A170" s="3">
        <v>762886</v>
      </c>
      <c r="B170" s="3">
        <v>794230</v>
      </c>
    </row>
    <row r="171" spans="1:2" x14ac:dyDescent="0.25">
      <c r="A171" s="3">
        <v>419489</v>
      </c>
      <c r="B171" s="3">
        <v>793854</v>
      </c>
    </row>
    <row r="172" spans="1:2" x14ac:dyDescent="0.25">
      <c r="A172" s="3">
        <v>132474</v>
      </c>
      <c r="B172" s="3">
        <v>793342</v>
      </c>
    </row>
    <row r="173" spans="1:2" x14ac:dyDescent="0.25">
      <c r="A173" s="3">
        <v>731572</v>
      </c>
      <c r="B173" s="3">
        <v>792813</v>
      </c>
    </row>
    <row r="174" spans="1:2" x14ac:dyDescent="0.25">
      <c r="A174" s="3">
        <v>396439</v>
      </c>
      <c r="B174" s="3">
        <v>792721</v>
      </c>
    </row>
    <row r="175" spans="1:2" x14ac:dyDescent="0.25">
      <c r="A175" s="3">
        <v>23050</v>
      </c>
      <c r="B175" s="3">
        <v>791524</v>
      </c>
    </row>
    <row r="176" spans="1:2" x14ac:dyDescent="0.25">
      <c r="A176" s="3">
        <v>358020</v>
      </c>
      <c r="B176" s="3">
        <v>790610</v>
      </c>
    </row>
    <row r="177" spans="1:2" x14ac:dyDescent="0.25">
      <c r="A177" s="3">
        <v>807805</v>
      </c>
      <c r="B177" s="3">
        <v>790347</v>
      </c>
    </row>
    <row r="178" spans="1:2" x14ac:dyDescent="0.25">
      <c r="A178" s="3">
        <v>513073</v>
      </c>
      <c r="B178" s="3">
        <v>789211</v>
      </c>
    </row>
    <row r="179" spans="1:2" x14ac:dyDescent="0.25">
      <c r="A179" s="3">
        <v>101422</v>
      </c>
      <c r="B179" s="3">
        <v>788337</v>
      </c>
    </row>
    <row r="180" spans="1:2" x14ac:dyDescent="0.25">
      <c r="A180" s="3">
        <v>287703</v>
      </c>
      <c r="B180" s="3">
        <v>786522</v>
      </c>
    </row>
    <row r="181" spans="1:2" x14ac:dyDescent="0.25">
      <c r="A181" s="3">
        <v>170034</v>
      </c>
      <c r="B181" s="3">
        <v>785600</v>
      </c>
    </row>
    <row r="182" spans="1:2" x14ac:dyDescent="0.25">
      <c r="A182" s="3">
        <v>281167</v>
      </c>
      <c r="B182" s="3">
        <v>784976</v>
      </c>
    </row>
    <row r="183" spans="1:2" x14ac:dyDescent="0.25">
      <c r="A183" s="3">
        <v>608186</v>
      </c>
      <c r="B183" s="3">
        <v>784849</v>
      </c>
    </row>
    <row r="184" spans="1:2" x14ac:dyDescent="0.25">
      <c r="A184" s="3">
        <v>129692</v>
      </c>
      <c r="B184" s="3">
        <v>784168</v>
      </c>
    </row>
    <row r="185" spans="1:2" x14ac:dyDescent="0.25">
      <c r="A185" s="3">
        <v>864233</v>
      </c>
      <c r="B185" s="3">
        <v>783535</v>
      </c>
    </row>
    <row r="186" spans="1:2" x14ac:dyDescent="0.25">
      <c r="A186" s="3">
        <v>817086</v>
      </c>
      <c r="B186" s="3">
        <v>780072</v>
      </c>
    </row>
    <row r="187" spans="1:2" x14ac:dyDescent="0.25">
      <c r="A187" s="3">
        <v>704629</v>
      </c>
      <c r="B187" s="3">
        <v>779297</v>
      </c>
    </row>
    <row r="188" spans="1:2" x14ac:dyDescent="0.25">
      <c r="A188" s="3">
        <v>398920</v>
      </c>
      <c r="B188" s="3">
        <v>772268</v>
      </c>
    </row>
    <row r="189" spans="1:2" x14ac:dyDescent="0.25">
      <c r="A189" s="3">
        <v>169013</v>
      </c>
      <c r="B189" s="3">
        <v>770949</v>
      </c>
    </row>
    <row r="190" spans="1:2" x14ac:dyDescent="0.25">
      <c r="A190" s="3">
        <v>52938</v>
      </c>
      <c r="B190" s="3">
        <v>764360</v>
      </c>
    </row>
    <row r="191" spans="1:2" x14ac:dyDescent="0.25">
      <c r="A191" s="3">
        <v>954629</v>
      </c>
      <c r="B191" s="3">
        <v>763969</v>
      </c>
    </row>
    <row r="192" spans="1:2" x14ac:dyDescent="0.25">
      <c r="A192" s="3">
        <v>795782</v>
      </c>
      <c r="B192" s="3">
        <v>763763</v>
      </c>
    </row>
    <row r="193" spans="1:2" x14ac:dyDescent="0.25">
      <c r="A193" s="3">
        <v>581411</v>
      </c>
      <c r="B193" s="3">
        <v>762886</v>
      </c>
    </row>
    <row r="194" spans="1:2" x14ac:dyDescent="0.25">
      <c r="A194" s="3">
        <v>467500</v>
      </c>
      <c r="B194" s="3">
        <v>762844</v>
      </c>
    </row>
    <row r="195" spans="1:2" x14ac:dyDescent="0.25">
      <c r="A195" s="3">
        <v>496603</v>
      </c>
      <c r="B195" s="3">
        <v>759116</v>
      </c>
    </row>
    <row r="196" spans="1:2" x14ac:dyDescent="0.25">
      <c r="A196" s="3">
        <v>528219</v>
      </c>
      <c r="B196" s="3">
        <v>758114</v>
      </c>
    </row>
    <row r="197" spans="1:2" x14ac:dyDescent="0.25">
      <c r="A197" s="3">
        <v>629144</v>
      </c>
      <c r="B197" s="3">
        <v>754178</v>
      </c>
    </row>
    <row r="198" spans="1:2" x14ac:dyDescent="0.25">
      <c r="A198" s="3">
        <v>925872</v>
      </c>
      <c r="B198" s="3">
        <v>752254</v>
      </c>
    </row>
    <row r="199" spans="1:2" x14ac:dyDescent="0.25">
      <c r="A199" s="3">
        <v>128868</v>
      </c>
      <c r="B199" s="3">
        <v>748436</v>
      </c>
    </row>
    <row r="200" spans="1:2" x14ac:dyDescent="0.25">
      <c r="A200" s="3">
        <v>463715</v>
      </c>
      <c r="B200" s="3">
        <v>747784</v>
      </c>
    </row>
    <row r="201" spans="1:2" x14ac:dyDescent="0.25">
      <c r="A201" s="3">
        <v>836201</v>
      </c>
      <c r="B201" s="3">
        <v>745919</v>
      </c>
    </row>
    <row r="202" spans="1:2" x14ac:dyDescent="0.25">
      <c r="A202" s="3">
        <v>250214</v>
      </c>
      <c r="B202" s="3">
        <v>745241</v>
      </c>
    </row>
    <row r="203" spans="1:2" x14ac:dyDescent="0.25">
      <c r="A203" s="3">
        <v>523529</v>
      </c>
      <c r="B203" s="3">
        <v>744482</v>
      </c>
    </row>
    <row r="204" spans="1:2" x14ac:dyDescent="0.25">
      <c r="A204" s="3">
        <v>608512</v>
      </c>
      <c r="B204" s="3">
        <v>744012</v>
      </c>
    </row>
    <row r="205" spans="1:2" x14ac:dyDescent="0.25">
      <c r="A205" s="3">
        <v>702951</v>
      </c>
      <c r="B205" s="3">
        <v>743470</v>
      </c>
    </row>
    <row r="206" spans="1:2" x14ac:dyDescent="0.25">
      <c r="A206" s="3">
        <v>234848</v>
      </c>
      <c r="B206" s="3">
        <v>741295</v>
      </c>
    </row>
    <row r="207" spans="1:2" x14ac:dyDescent="0.25">
      <c r="A207" s="3">
        <v>108763</v>
      </c>
      <c r="B207" s="3">
        <v>739450</v>
      </c>
    </row>
    <row r="208" spans="1:2" x14ac:dyDescent="0.25">
      <c r="A208" s="3">
        <v>860263</v>
      </c>
      <c r="B208" s="3">
        <v>736599</v>
      </c>
    </row>
    <row r="209" spans="1:2" x14ac:dyDescent="0.25">
      <c r="A209" s="3">
        <v>631016</v>
      </c>
      <c r="B209" s="3">
        <v>734930</v>
      </c>
    </row>
    <row r="210" spans="1:2" x14ac:dyDescent="0.25">
      <c r="A210" s="3">
        <v>86465</v>
      </c>
      <c r="B210" s="3">
        <v>734839</v>
      </c>
    </row>
    <row r="211" spans="1:2" x14ac:dyDescent="0.25">
      <c r="A211" s="3">
        <v>844834</v>
      </c>
      <c r="B211" s="3">
        <v>732615</v>
      </c>
    </row>
    <row r="212" spans="1:2" x14ac:dyDescent="0.25">
      <c r="A212" s="3">
        <v>643971</v>
      </c>
      <c r="B212" s="3">
        <v>731572</v>
      </c>
    </row>
    <row r="213" spans="1:2" x14ac:dyDescent="0.25">
      <c r="A213" s="3">
        <v>133821</v>
      </c>
      <c r="B213" s="3">
        <v>731050</v>
      </c>
    </row>
    <row r="214" spans="1:2" x14ac:dyDescent="0.25">
      <c r="A214" s="3">
        <v>21892</v>
      </c>
      <c r="B214" s="3">
        <v>729431</v>
      </c>
    </row>
    <row r="215" spans="1:2" x14ac:dyDescent="0.25">
      <c r="A215" s="3">
        <v>96520</v>
      </c>
      <c r="B215" s="3">
        <v>728056</v>
      </c>
    </row>
    <row r="216" spans="1:2" x14ac:dyDescent="0.25">
      <c r="A216" s="3">
        <v>805186</v>
      </c>
      <c r="B216" s="3">
        <v>726388</v>
      </c>
    </row>
    <row r="217" spans="1:2" x14ac:dyDescent="0.25">
      <c r="A217" s="3">
        <v>557904</v>
      </c>
      <c r="B217" s="3">
        <v>726040</v>
      </c>
    </row>
    <row r="218" spans="1:2" x14ac:dyDescent="0.25">
      <c r="A218" s="3">
        <v>556988</v>
      </c>
      <c r="B218" s="3">
        <v>725199</v>
      </c>
    </row>
    <row r="219" spans="1:2" x14ac:dyDescent="0.25">
      <c r="A219" s="3">
        <v>811943</v>
      </c>
      <c r="B219" s="3">
        <v>718848</v>
      </c>
    </row>
    <row r="220" spans="1:2" x14ac:dyDescent="0.25">
      <c r="A220" s="3">
        <v>784168</v>
      </c>
      <c r="B220" s="3">
        <v>718451</v>
      </c>
    </row>
    <row r="221" spans="1:2" x14ac:dyDescent="0.25">
      <c r="A221" s="3">
        <v>27814</v>
      </c>
      <c r="B221" s="3">
        <v>717582</v>
      </c>
    </row>
    <row r="222" spans="1:2" x14ac:dyDescent="0.25">
      <c r="A222" s="3">
        <v>202513</v>
      </c>
      <c r="B222" s="3">
        <v>716110</v>
      </c>
    </row>
    <row r="223" spans="1:2" x14ac:dyDescent="0.25">
      <c r="A223" s="3">
        <v>786522</v>
      </c>
      <c r="B223" s="3">
        <v>713432</v>
      </c>
    </row>
    <row r="224" spans="1:2" x14ac:dyDescent="0.25">
      <c r="A224" s="3">
        <v>385813</v>
      </c>
      <c r="B224" s="3">
        <v>712607</v>
      </c>
    </row>
    <row r="225" spans="1:2" x14ac:dyDescent="0.25">
      <c r="A225" s="3">
        <v>356959</v>
      </c>
      <c r="B225" s="3">
        <v>712596</v>
      </c>
    </row>
    <row r="226" spans="1:2" x14ac:dyDescent="0.25">
      <c r="A226" s="3">
        <v>337276</v>
      </c>
      <c r="B226" s="3">
        <v>711424</v>
      </c>
    </row>
    <row r="227" spans="1:2" x14ac:dyDescent="0.25">
      <c r="A227" s="3">
        <v>609600</v>
      </c>
      <c r="B227" s="3">
        <v>709726</v>
      </c>
    </row>
    <row r="228" spans="1:2" x14ac:dyDescent="0.25">
      <c r="A228" s="3">
        <v>288352</v>
      </c>
      <c r="B228" s="3">
        <v>709496</v>
      </c>
    </row>
    <row r="229" spans="1:2" x14ac:dyDescent="0.25">
      <c r="A229" s="3">
        <v>141290</v>
      </c>
      <c r="B229" s="3">
        <v>708733</v>
      </c>
    </row>
    <row r="230" spans="1:2" x14ac:dyDescent="0.25">
      <c r="A230" s="3">
        <v>482395</v>
      </c>
      <c r="B230" s="3">
        <v>706521</v>
      </c>
    </row>
    <row r="231" spans="1:2" x14ac:dyDescent="0.25">
      <c r="A231" s="3">
        <v>594916</v>
      </c>
      <c r="B231" s="3">
        <v>704685</v>
      </c>
    </row>
    <row r="232" spans="1:2" x14ac:dyDescent="0.25">
      <c r="A232" s="3">
        <v>146471</v>
      </c>
      <c r="B232" s="3">
        <v>704637</v>
      </c>
    </row>
    <row r="233" spans="1:2" x14ac:dyDescent="0.25">
      <c r="A233" s="3">
        <v>585436</v>
      </c>
      <c r="B233" s="3">
        <v>704629</v>
      </c>
    </row>
    <row r="234" spans="1:2" x14ac:dyDescent="0.25">
      <c r="A234" s="3">
        <v>711424</v>
      </c>
      <c r="B234" s="3">
        <v>703092</v>
      </c>
    </row>
    <row r="235" spans="1:2" x14ac:dyDescent="0.25">
      <c r="A235" s="3">
        <v>979804</v>
      </c>
      <c r="B235" s="3">
        <v>702951</v>
      </c>
    </row>
    <row r="236" spans="1:2" x14ac:dyDescent="0.25">
      <c r="A236" s="3">
        <v>597483</v>
      </c>
      <c r="B236" s="3">
        <v>700739</v>
      </c>
    </row>
    <row r="237" spans="1:2" x14ac:dyDescent="0.25">
      <c r="A237" s="3">
        <v>553967</v>
      </c>
      <c r="B237" s="3">
        <v>700572</v>
      </c>
    </row>
    <row r="238" spans="1:2" x14ac:dyDescent="0.25">
      <c r="A238" s="3">
        <v>473061</v>
      </c>
      <c r="B238" s="3">
        <v>700542</v>
      </c>
    </row>
    <row r="239" spans="1:2" x14ac:dyDescent="0.25">
      <c r="A239" s="3">
        <v>946407</v>
      </c>
      <c r="B239" s="3">
        <v>700493</v>
      </c>
    </row>
    <row r="240" spans="1:2" x14ac:dyDescent="0.25">
      <c r="A240" s="3">
        <v>364735</v>
      </c>
      <c r="B240" s="3">
        <v>698702</v>
      </c>
    </row>
    <row r="241" spans="1:2" x14ac:dyDescent="0.25">
      <c r="A241" s="3">
        <v>149226</v>
      </c>
      <c r="B241" s="3">
        <v>696835</v>
      </c>
    </row>
    <row r="242" spans="1:2" x14ac:dyDescent="0.25">
      <c r="A242" s="3">
        <v>581042</v>
      </c>
      <c r="B242" s="3">
        <v>696770</v>
      </c>
    </row>
    <row r="243" spans="1:2" x14ac:dyDescent="0.25">
      <c r="A243" s="3">
        <v>637049</v>
      </c>
      <c r="B243" s="3">
        <v>693662</v>
      </c>
    </row>
    <row r="244" spans="1:2" x14ac:dyDescent="0.25">
      <c r="A244" s="3">
        <v>95180</v>
      </c>
      <c r="B244" s="3">
        <v>693481</v>
      </c>
    </row>
    <row r="245" spans="1:2" x14ac:dyDescent="0.25">
      <c r="A245" s="3">
        <v>685362</v>
      </c>
      <c r="B245" s="3">
        <v>693086</v>
      </c>
    </row>
    <row r="246" spans="1:2" x14ac:dyDescent="0.25">
      <c r="A246" s="3">
        <v>501951</v>
      </c>
      <c r="B246" s="3">
        <v>691201</v>
      </c>
    </row>
    <row r="247" spans="1:2" x14ac:dyDescent="0.25">
      <c r="A247" s="3">
        <v>919721</v>
      </c>
      <c r="B247" s="3">
        <v>688709</v>
      </c>
    </row>
    <row r="248" spans="1:2" x14ac:dyDescent="0.25">
      <c r="A248" s="3">
        <v>726040</v>
      </c>
      <c r="B248" s="3">
        <v>686604</v>
      </c>
    </row>
    <row r="249" spans="1:2" x14ac:dyDescent="0.25">
      <c r="A249" s="3">
        <v>698702</v>
      </c>
      <c r="B249" s="3">
        <v>685362</v>
      </c>
    </row>
    <row r="250" spans="1:2" x14ac:dyDescent="0.25">
      <c r="A250" s="3">
        <v>972704</v>
      </c>
      <c r="B250" s="3">
        <v>684153</v>
      </c>
    </row>
    <row r="251" spans="1:2" x14ac:dyDescent="0.25">
      <c r="A251" s="3">
        <v>731050</v>
      </c>
      <c r="B251" s="3">
        <v>683225</v>
      </c>
    </row>
    <row r="252" spans="1:2" x14ac:dyDescent="0.25">
      <c r="A252" s="3">
        <v>345028</v>
      </c>
      <c r="B252" s="3">
        <v>683152</v>
      </c>
    </row>
    <row r="253" spans="1:2" x14ac:dyDescent="0.25">
      <c r="A253" s="3">
        <v>784976</v>
      </c>
      <c r="B253" s="3">
        <v>681175</v>
      </c>
    </row>
    <row r="254" spans="1:2" x14ac:dyDescent="0.25">
      <c r="A254" s="3">
        <v>35228</v>
      </c>
      <c r="B254" s="3">
        <v>672726</v>
      </c>
    </row>
    <row r="255" spans="1:2" x14ac:dyDescent="0.25">
      <c r="A255" s="3">
        <v>404690</v>
      </c>
      <c r="B255" s="3">
        <v>671068</v>
      </c>
    </row>
    <row r="256" spans="1:2" x14ac:dyDescent="0.25">
      <c r="A256" s="3">
        <v>507441</v>
      </c>
      <c r="B256" s="3">
        <v>669258</v>
      </c>
    </row>
    <row r="257" spans="1:2" x14ac:dyDescent="0.25">
      <c r="A257" s="3">
        <v>512914</v>
      </c>
      <c r="B257" s="3">
        <v>667876</v>
      </c>
    </row>
    <row r="258" spans="1:2" x14ac:dyDescent="0.25">
      <c r="A258" s="3">
        <v>525771</v>
      </c>
      <c r="B258" s="3">
        <v>667090</v>
      </c>
    </row>
    <row r="259" spans="1:2" x14ac:dyDescent="0.25">
      <c r="A259" s="3">
        <v>999078</v>
      </c>
      <c r="B259" s="3">
        <v>659118</v>
      </c>
    </row>
    <row r="260" spans="1:2" x14ac:dyDescent="0.25">
      <c r="A260" s="3">
        <v>289261</v>
      </c>
      <c r="B260" s="3">
        <v>655962</v>
      </c>
    </row>
    <row r="261" spans="1:2" x14ac:dyDescent="0.25">
      <c r="A261" s="3">
        <v>792813</v>
      </c>
      <c r="B261" s="3">
        <v>652043</v>
      </c>
    </row>
    <row r="262" spans="1:2" x14ac:dyDescent="0.25">
      <c r="A262" s="3">
        <v>706521</v>
      </c>
      <c r="B262" s="3">
        <v>648987</v>
      </c>
    </row>
    <row r="263" spans="1:2" x14ac:dyDescent="0.25">
      <c r="A263" s="3">
        <v>716110</v>
      </c>
      <c r="B263" s="3">
        <v>647165</v>
      </c>
    </row>
    <row r="264" spans="1:2" x14ac:dyDescent="0.25">
      <c r="A264" s="3">
        <v>693662</v>
      </c>
      <c r="B264" s="3">
        <v>644734</v>
      </c>
    </row>
    <row r="265" spans="1:2" x14ac:dyDescent="0.25">
      <c r="A265" s="3">
        <v>700542</v>
      </c>
      <c r="B265" s="3">
        <v>644070</v>
      </c>
    </row>
    <row r="266" spans="1:2" x14ac:dyDescent="0.25">
      <c r="A266" s="3">
        <v>683152</v>
      </c>
      <c r="B266" s="3">
        <v>643971</v>
      </c>
    </row>
    <row r="267" spans="1:2" x14ac:dyDescent="0.25">
      <c r="A267" s="3">
        <v>951603</v>
      </c>
      <c r="B267" s="3">
        <v>643144</v>
      </c>
    </row>
    <row r="268" spans="1:2" x14ac:dyDescent="0.25">
      <c r="A268" s="3">
        <v>630276</v>
      </c>
      <c r="B268" s="3">
        <v>642604</v>
      </c>
    </row>
    <row r="269" spans="1:2" x14ac:dyDescent="0.25">
      <c r="A269" s="3">
        <v>709496</v>
      </c>
      <c r="B269" s="3">
        <v>640347</v>
      </c>
    </row>
    <row r="270" spans="1:2" x14ac:dyDescent="0.25">
      <c r="A270" s="3">
        <v>659118</v>
      </c>
      <c r="B270" s="3">
        <v>637049</v>
      </c>
    </row>
    <row r="271" spans="1:2" x14ac:dyDescent="0.25">
      <c r="A271" s="3">
        <v>465315</v>
      </c>
      <c r="B271" s="3">
        <v>636985</v>
      </c>
    </row>
    <row r="272" spans="1:2" x14ac:dyDescent="0.25">
      <c r="A272" s="3">
        <v>242252</v>
      </c>
      <c r="B272" s="3">
        <v>636486</v>
      </c>
    </row>
    <row r="273" spans="1:2" x14ac:dyDescent="0.25">
      <c r="A273" s="3">
        <v>427577</v>
      </c>
      <c r="B273" s="3">
        <v>634443</v>
      </c>
    </row>
    <row r="274" spans="1:2" x14ac:dyDescent="0.25">
      <c r="A274" s="3">
        <v>784849</v>
      </c>
      <c r="B274" s="3">
        <v>634428</v>
      </c>
    </row>
    <row r="275" spans="1:2" x14ac:dyDescent="0.25">
      <c r="A275" s="3">
        <v>997172</v>
      </c>
      <c r="B275" s="3">
        <v>632123</v>
      </c>
    </row>
    <row r="276" spans="1:2" x14ac:dyDescent="0.25">
      <c r="A276" s="3">
        <v>168512</v>
      </c>
      <c r="B276" s="3">
        <v>631379</v>
      </c>
    </row>
    <row r="277" spans="1:2" x14ac:dyDescent="0.25">
      <c r="A277" s="3">
        <v>42348</v>
      </c>
      <c r="B277" s="3">
        <v>631016</v>
      </c>
    </row>
    <row r="278" spans="1:2" x14ac:dyDescent="0.25">
      <c r="A278" s="3">
        <v>135917</v>
      </c>
      <c r="B278" s="3">
        <v>630276</v>
      </c>
    </row>
    <row r="279" spans="1:2" x14ac:dyDescent="0.25">
      <c r="A279" s="3">
        <v>274502</v>
      </c>
      <c r="B279" s="3">
        <v>629678</v>
      </c>
    </row>
    <row r="280" spans="1:2" x14ac:dyDescent="0.25">
      <c r="A280" s="3">
        <v>763763</v>
      </c>
      <c r="B280" s="3">
        <v>629144</v>
      </c>
    </row>
    <row r="281" spans="1:2" x14ac:dyDescent="0.25">
      <c r="A281" s="3">
        <v>857077</v>
      </c>
      <c r="B281" s="3">
        <v>628495</v>
      </c>
    </row>
    <row r="282" spans="1:2" x14ac:dyDescent="0.25">
      <c r="A282" s="3">
        <v>609900</v>
      </c>
      <c r="B282" s="3">
        <v>624924</v>
      </c>
    </row>
    <row r="283" spans="1:2" x14ac:dyDescent="0.25">
      <c r="A283" s="3">
        <v>688709</v>
      </c>
      <c r="B283" s="3">
        <v>621487</v>
      </c>
    </row>
    <row r="284" spans="1:2" x14ac:dyDescent="0.25">
      <c r="A284" s="3">
        <v>123261</v>
      </c>
      <c r="B284" s="3">
        <v>619513</v>
      </c>
    </row>
    <row r="285" spans="1:2" x14ac:dyDescent="0.25">
      <c r="A285" s="3">
        <v>971351</v>
      </c>
      <c r="B285" s="3">
        <v>618094</v>
      </c>
    </row>
    <row r="286" spans="1:2" x14ac:dyDescent="0.25">
      <c r="A286" s="3">
        <v>352817</v>
      </c>
      <c r="B286" s="3">
        <v>617230</v>
      </c>
    </row>
    <row r="287" spans="1:2" x14ac:dyDescent="0.25">
      <c r="A287" s="3">
        <v>823804</v>
      </c>
      <c r="B287" s="3">
        <v>616124</v>
      </c>
    </row>
    <row r="288" spans="1:2" x14ac:dyDescent="0.25">
      <c r="A288" s="3">
        <v>783535</v>
      </c>
      <c r="B288" s="3">
        <v>614769</v>
      </c>
    </row>
    <row r="289" spans="1:2" x14ac:dyDescent="0.25">
      <c r="A289" s="3">
        <v>182597</v>
      </c>
      <c r="B289" s="3">
        <v>614463</v>
      </c>
    </row>
    <row r="290" spans="1:2" x14ac:dyDescent="0.25">
      <c r="A290" s="3">
        <v>591650</v>
      </c>
      <c r="B290" s="3">
        <v>612299</v>
      </c>
    </row>
    <row r="291" spans="1:2" x14ac:dyDescent="0.25">
      <c r="A291" s="3">
        <v>974118</v>
      </c>
      <c r="B291" s="3">
        <v>611215</v>
      </c>
    </row>
    <row r="292" spans="1:2" x14ac:dyDescent="0.25">
      <c r="A292" s="3">
        <v>338704</v>
      </c>
      <c r="B292" s="3">
        <v>609900</v>
      </c>
    </row>
    <row r="293" spans="1:2" x14ac:dyDescent="0.25">
      <c r="A293" s="3">
        <v>868516</v>
      </c>
      <c r="B293" s="3">
        <v>609600</v>
      </c>
    </row>
    <row r="294" spans="1:2" x14ac:dyDescent="0.25">
      <c r="A294" s="3">
        <v>984228</v>
      </c>
      <c r="B294" s="3">
        <v>609144</v>
      </c>
    </row>
    <row r="295" spans="1:2" x14ac:dyDescent="0.25">
      <c r="A295" s="3">
        <v>505619</v>
      </c>
      <c r="B295" s="3">
        <v>608512</v>
      </c>
    </row>
    <row r="296" spans="1:2" x14ac:dyDescent="0.25">
      <c r="A296" s="3">
        <v>172560</v>
      </c>
      <c r="B296" s="3">
        <v>608186</v>
      </c>
    </row>
    <row r="297" spans="1:2" x14ac:dyDescent="0.25">
      <c r="A297" s="3">
        <v>828124</v>
      </c>
      <c r="B297" s="3">
        <v>607777</v>
      </c>
    </row>
    <row r="298" spans="1:2" x14ac:dyDescent="0.25">
      <c r="A298" s="3">
        <v>139170</v>
      </c>
      <c r="B298" s="3">
        <v>605830</v>
      </c>
    </row>
    <row r="299" spans="1:2" x14ac:dyDescent="0.25">
      <c r="A299" s="3">
        <v>11096</v>
      </c>
      <c r="B299" s="3">
        <v>597483</v>
      </c>
    </row>
    <row r="300" spans="1:2" x14ac:dyDescent="0.25">
      <c r="A300" s="3">
        <v>288902</v>
      </c>
      <c r="B300" s="3">
        <v>596608</v>
      </c>
    </row>
    <row r="301" spans="1:2" x14ac:dyDescent="0.25">
      <c r="A301" s="3">
        <v>21534</v>
      </c>
      <c r="B301" s="3">
        <v>594916</v>
      </c>
    </row>
    <row r="302" spans="1:2" x14ac:dyDescent="0.25">
      <c r="A302" s="3">
        <v>58975</v>
      </c>
      <c r="B302" s="3">
        <v>592001</v>
      </c>
    </row>
    <row r="303" spans="1:2" x14ac:dyDescent="0.25">
      <c r="A303" s="3">
        <v>919342</v>
      </c>
      <c r="B303" s="3">
        <v>591650</v>
      </c>
    </row>
    <row r="304" spans="1:2" x14ac:dyDescent="0.25">
      <c r="A304" s="3">
        <v>510376</v>
      </c>
      <c r="B304" s="3">
        <v>590903</v>
      </c>
    </row>
    <row r="305" spans="1:2" x14ac:dyDescent="0.25">
      <c r="A305" s="3">
        <v>435088</v>
      </c>
      <c r="B305" s="3">
        <v>586162</v>
      </c>
    </row>
    <row r="306" spans="1:2" x14ac:dyDescent="0.25">
      <c r="A306" s="3">
        <v>642604</v>
      </c>
      <c r="B306" s="3">
        <v>585436</v>
      </c>
    </row>
    <row r="307" spans="1:2" x14ac:dyDescent="0.25">
      <c r="A307" s="3">
        <v>250763</v>
      </c>
      <c r="B307" s="3">
        <v>583680</v>
      </c>
    </row>
    <row r="308" spans="1:2" x14ac:dyDescent="0.25">
      <c r="A308" s="3">
        <v>739450</v>
      </c>
      <c r="B308" s="3">
        <v>583582</v>
      </c>
    </row>
    <row r="309" spans="1:2" x14ac:dyDescent="0.25">
      <c r="A309" s="3">
        <v>485252</v>
      </c>
      <c r="B309" s="3">
        <v>583152</v>
      </c>
    </row>
    <row r="310" spans="1:2" x14ac:dyDescent="0.25">
      <c r="A310" s="3">
        <v>363318</v>
      </c>
      <c r="B310" s="3">
        <v>581411</v>
      </c>
    </row>
    <row r="311" spans="1:2" x14ac:dyDescent="0.25">
      <c r="A311" s="3">
        <v>916265</v>
      </c>
      <c r="B311" s="3">
        <v>581042</v>
      </c>
    </row>
    <row r="312" spans="1:2" x14ac:dyDescent="0.25">
      <c r="A312" s="3">
        <v>821437</v>
      </c>
      <c r="B312" s="3">
        <v>577993</v>
      </c>
    </row>
    <row r="313" spans="1:2" x14ac:dyDescent="0.25">
      <c r="A313" s="3">
        <v>918640</v>
      </c>
      <c r="B313" s="3">
        <v>577309</v>
      </c>
    </row>
    <row r="314" spans="1:2" x14ac:dyDescent="0.25">
      <c r="A314" s="3">
        <v>975861</v>
      </c>
      <c r="B314" s="3">
        <v>574363</v>
      </c>
    </row>
    <row r="315" spans="1:2" x14ac:dyDescent="0.25">
      <c r="A315" s="3">
        <v>933645</v>
      </c>
      <c r="B315" s="3">
        <v>568406</v>
      </c>
    </row>
    <row r="316" spans="1:2" x14ac:dyDescent="0.25">
      <c r="A316" s="3">
        <v>726388</v>
      </c>
      <c r="B316" s="3">
        <v>568145</v>
      </c>
    </row>
    <row r="317" spans="1:2" x14ac:dyDescent="0.25">
      <c r="A317" s="3">
        <v>148072</v>
      </c>
      <c r="B317" s="3">
        <v>566760</v>
      </c>
    </row>
    <row r="318" spans="1:2" x14ac:dyDescent="0.25">
      <c r="A318" s="3">
        <v>271516</v>
      </c>
      <c r="B318" s="3">
        <v>566750</v>
      </c>
    </row>
    <row r="319" spans="1:2" x14ac:dyDescent="0.25">
      <c r="A319" s="3">
        <v>993392</v>
      </c>
      <c r="B319" s="3">
        <v>566283</v>
      </c>
    </row>
    <row r="320" spans="1:2" x14ac:dyDescent="0.25">
      <c r="A320" s="3">
        <v>644070</v>
      </c>
      <c r="B320" s="3">
        <v>557904</v>
      </c>
    </row>
    <row r="321" spans="1:2" x14ac:dyDescent="0.25">
      <c r="A321" s="3">
        <v>131937</v>
      </c>
      <c r="B321" s="3">
        <v>556988</v>
      </c>
    </row>
    <row r="322" spans="1:2" x14ac:dyDescent="0.25">
      <c r="A322" s="3">
        <v>309748</v>
      </c>
      <c r="B322" s="3">
        <v>556132</v>
      </c>
    </row>
    <row r="323" spans="1:2" x14ac:dyDescent="0.25">
      <c r="A323" s="3">
        <v>667876</v>
      </c>
      <c r="B323" s="3">
        <v>555228</v>
      </c>
    </row>
    <row r="324" spans="1:2" x14ac:dyDescent="0.25">
      <c r="A324" s="3">
        <v>965995</v>
      </c>
      <c r="B324" s="3">
        <v>553967</v>
      </c>
    </row>
    <row r="325" spans="1:2" x14ac:dyDescent="0.25">
      <c r="A325" s="3">
        <v>621487</v>
      </c>
      <c r="B325" s="3">
        <v>550329</v>
      </c>
    </row>
    <row r="326" spans="1:2" x14ac:dyDescent="0.25">
      <c r="A326" s="3">
        <v>203270</v>
      </c>
      <c r="B326" s="3">
        <v>547837</v>
      </c>
    </row>
    <row r="327" spans="1:2" x14ac:dyDescent="0.25">
      <c r="A327" s="3">
        <v>879809</v>
      </c>
      <c r="B327" s="3">
        <v>543847</v>
      </c>
    </row>
    <row r="328" spans="1:2" x14ac:dyDescent="0.25">
      <c r="A328" s="3">
        <v>124840</v>
      </c>
      <c r="B328" s="3">
        <v>543813</v>
      </c>
    </row>
    <row r="329" spans="1:2" x14ac:dyDescent="0.25">
      <c r="A329" s="3">
        <v>823917</v>
      </c>
      <c r="B329" s="3">
        <v>542771</v>
      </c>
    </row>
    <row r="330" spans="1:2" x14ac:dyDescent="0.25">
      <c r="A330" s="3">
        <v>996139</v>
      </c>
      <c r="B330" s="3">
        <v>539138</v>
      </c>
    </row>
    <row r="331" spans="1:2" x14ac:dyDescent="0.25">
      <c r="A331" s="3">
        <v>141430</v>
      </c>
      <c r="B331" s="3">
        <v>538396</v>
      </c>
    </row>
    <row r="332" spans="1:2" x14ac:dyDescent="0.25">
      <c r="A332" s="3">
        <v>958554</v>
      </c>
      <c r="B332" s="3">
        <v>538265</v>
      </c>
    </row>
    <row r="333" spans="1:2" x14ac:dyDescent="0.25">
      <c r="A333" s="3">
        <v>958676</v>
      </c>
      <c r="B333" s="3">
        <v>536903</v>
      </c>
    </row>
    <row r="334" spans="1:2" x14ac:dyDescent="0.25">
      <c r="A334" s="3">
        <v>121891</v>
      </c>
      <c r="B334" s="3">
        <v>535971</v>
      </c>
    </row>
    <row r="335" spans="1:2" x14ac:dyDescent="0.25">
      <c r="A335" s="3">
        <v>217532</v>
      </c>
      <c r="B335" s="3">
        <v>533960</v>
      </c>
    </row>
    <row r="336" spans="1:2" x14ac:dyDescent="0.25">
      <c r="A336" s="3">
        <v>463695</v>
      </c>
      <c r="B336" s="3">
        <v>533563</v>
      </c>
    </row>
    <row r="337" spans="1:2" x14ac:dyDescent="0.25">
      <c r="A337" s="3">
        <v>502038</v>
      </c>
      <c r="B337" s="3">
        <v>533219</v>
      </c>
    </row>
    <row r="338" spans="1:2" x14ac:dyDescent="0.25">
      <c r="A338" s="3">
        <v>770949</v>
      </c>
      <c r="B338" s="3">
        <v>532311</v>
      </c>
    </row>
    <row r="339" spans="1:2" x14ac:dyDescent="0.25">
      <c r="A339" s="3">
        <v>378994</v>
      </c>
      <c r="B339" s="3">
        <v>529976</v>
      </c>
    </row>
    <row r="340" spans="1:2" x14ac:dyDescent="0.25">
      <c r="A340" s="3">
        <v>536903</v>
      </c>
      <c r="B340" s="3">
        <v>528219</v>
      </c>
    </row>
    <row r="341" spans="1:2" x14ac:dyDescent="0.25">
      <c r="A341" s="3">
        <v>729431</v>
      </c>
      <c r="B341" s="3">
        <v>527328</v>
      </c>
    </row>
    <row r="342" spans="1:2" x14ac:dyDescent="0.25">
      <c r="A342" s="3">
        <v>170420</v>
      </c>
      <c r="B342" s="3">
        <v>526436</v>
      </c>
    </row>
    <row r="343" spans="1:2" x14ac:dyDescent="0.25">
      <c r="A343" s="3">
        <v>389624</v>
      </c>
      <c r="B343" s="3">
        <v>525771</v>
      </c>
    </row>
    <row r="344" spans="1:2" x14ac:dyDescent="0.25">
      <c r="A344" s="3">
        <v>875305</v>
      </c>
      <c r="B344" s="3">
        <v>523529</v>
      </c>
    </row>
    <row r="345" spans="1:2" x14ac:dyDescent="0.25">
      <c r="A345" s="3">
        <v>32332</v>
      </c>
      <c r="B345" s="3">
        <v>522077</v>
      </c>
    </row>
    <row r="346" spans="1:2" x14ac:dyDescent="0.25">
      <c r="A346" s="3">
        <v>454888</v>
      </c>
      <c r="B346" s="3">
        <v>522042</v>
      </c>
    </row>
    <row r="347" spans="1:2" x14ac:dyDescent="0.25">
      <c r="A347" s="3">
        <v>250871</v>
      </c>
      <c r="B347" s="3">
        <v>521925</v>
      </c>
    </row>
    <row r="348" spans="1:2" x14ac:dyDescent="0.25">
      <c r="A348" s="3">
        <v>100148</v>
      </c>
      <c r="B348" s="3">
        <v>518934</v>
      </c>
    </row>
    <row r="349" spans="1:2" x14ac:dyDescent="0.25">
      <c r="A349" s="3">
        <v>883341</v>
      </c>
      <c r="B349" s="3">
        <v>517210</v>
      </c>
    </row>
    <row r="350" spans="1:2" x14ac:dyDescent="0.25">
      <c r="A350" s="3">
        <v>244606</v>
      </c>
      <c r="B350" s="3">
        <v>513653</v>
      </c>
    </row>
    <row r="351" spans="1:2" x14ac:dyDescent="0.25">
      <c r="A351" s="3">
        <v>101179</v>
      </c>
      <c r="B351" s="3">
        <v>513399</v>
      </c>
    </row>
    <row r="352" spans="1:2" x14ac:dyDescent="0.25">
      <c r="A352" s="3">
        <v>648987</v>
      </c>
      <c r="B352" s="3">
        <v>513073</v>
      </c>
    </row>
    <row r="353" spans="1:2" x14ac:dyDescent="0.25">
      <c r="A353" s="3">
        <v>462149</v>
      </c>
      <c r="B353" s="3">
        <v>512914</v>
      </c>
    </row>
    <row r="354" spans="1:2" x14ac:dyDescent="0.25">
      <c r="A354" s="3">
        <v>33960</v>
      </c>
      <c r="B354" s="3">
        <v>512640</v>
      </c>
    </row>
    <row r="355" spans="1:2" x14ac:dyDescent="0.25">
      <c r="A355" s="3">
        <v>354673</v>
      </c>
      <c r="B355" s="3">
        <v>511660</v>
      </c>
    </row>
    <row r="356" spans="1:2" x14ac:dyDescent="0.25">
      <c r="A356" s="3">
        <v>457930</v>
      </c>
      <c r="B356" s="3">
        <v>510376</v>
      </c>
    </row>
    <row r="357" spans="1:2" x14ac:dyDescent="0.25">
      <c r="A357" s="3">
        <v>400110</v>
      </c>
      <c r="B357" s="3">
        <v>507441</v>
      </c>
    </row>
    <row r="358" spans="1:2" x14ac:dyDescent="0.25">
      <c r="A358" s="3">
        <v>957179</v>
      </c>
      <c r="B358" s="3">
        <v>507022</v>
      </c>
    </row>
    <row r="359" spans="1:2" x14ac:dyDescent="0.25">
      <c r="A359" s="3">
        <v>243592</v>
      </c>
      <c r="B359" s="3">
        <v>506656</v>
      </c>
    </row>
    <row r="360" spans="1:2" x14ac:dyDescent="0.25">
      <c r="A360" s="3">
        <v>922886</v>
      </c>
      <c r="B360" s="3">
        <v>506331</v>
      </c>
    </row>
    <row r="361" spans="1:2" x14ac:dyDescent="0.25">
      <c r="A361" s="3">
        <v>12948</v>
      </c>
      <c r="B361" s="3">
        <v>506042</v>
      </c>
    </row>
    <row r="362" spans="1:2" x14ac:dyDescent="0.25">
      <c r="A362" s="3">
        <v>954987</v>
      </c>
      <c r="B362" s="3">
        <v>505818</v>
      </c>
    </row>
    <row r="363" spans="1:2" x14ac:dyDescent="0.25">
      <c r="A363" s="3">
        <v>46488</v>
      </c>
      <c r="B363" s="3">
        <v>505619</v>
      </c>
    </row>
    <row r="364" spans="1:2" x14ac:dyDescent="0.25">
      <c r="A364" s="3">
        <v>230003</v>
      </c>
      <c r="B364" s="3">
        <v>502294</v>
      </c>
    </row>
    <row r="365" spans="1:2" x14ac:dyDescent="0.25">
      <c r="A365" s="3">
        <v>301356</v>
      </c>
      <c r="B365" s="3">
        <v>502038</v>
      </c>
    </row>
    <row r="366" spans="1:2" x14ac:dyDescent="0.25">
      <c r="A366" s="3">
        <v>538265</v>
      </c>
      <c r="B366" s="3">
        <v>501951</v>
      </c>
    </row>
    <row r="367" spans="1:2" x14ac:dyDescent="0.25">
      <c r="A367" s="3">
        <v>241505</v>
      </c>
      <c r="B367" s="3">
        <v>498724</v>
      </c>
    </row>
    <row r="368" spans="1:2" x14ac:dyDescent="0.25">
      <c r="A368" s="3">
        <v>952082</v>
      </c>
      <c r="B368" s="3">
        <v>498264</v>
      </c>
    </row>
    <row r="369" spans="1:2" x14ac:dyDescent="0.25">
      <c r="A369" s="3">
        <v>640347</v>
      </c>
      <c r="B369" s="3">
        <v>497828</v>
      </c>
    </row>
    <row r="370" spans="1:2" x14ac:dyDescent="0.25">
      <c r="A370" s="3">
        <v>476830</v>
      </c>
      <c r="B370" s="3">
        <v>497404</v>
      </c>
    </row>
    <row r="371" spans="1:2" x14ac:dyDescent="0.25">
      <c r="A371" s="3">
        <v>780072</v>
      </c>
      <c r="B371" s="3">
        <v>496841</v>
      </c>
    </row>
    <row r="372" spans="1:2" x14ac:dyDescent="0.25">
      <c r="A372" s="3">
        <v>831166</v>
      </c>
      <c r="B372" s="3">
        <v>496603</v>
      </c>
    </row>
    <row r="373" spans="1:2" x14ac:dyDescent="0.25">
      <c r="A373" s="3">
        <v>791524</v>
      </c>
      <c r="B373" s="3">
        <v>496083</v>
      </c>
    </row>
    <row r="374" spans="1:2" x14ac:dyDescent="0.25">
      <c r="A374" s="3">
        <v>349219</v>
      </c>
      <c r="B374" s="3">
        <v>493160</v>
      </c>
    </row>
    <row r="375" spans="1:2" x14ac:dyDescent="0.25">
      <c r="A375" s="3">
        <v>502294</v>
      </c>
      <c r="B375" s="3">
        <v>489186</v>
      </c>
    </row>
    <row r="376" spans="1:2" x14ac:dyDescent="0.25">
      <c r="A376" s="3">
        <v>80894</v>
      </c>
      <c r="B376" s="3">
        <v>487738</v>
      </c>
    </row>
    <row r="377" spans="1:2" x14ac:dyDescent="0.25">
      <c r="A377" s="3">
        <v>233406</v>
      </c>
      <c r="B377" s="3">
        <v>486707</v>
      </c>
    </row>
    <row r="378" spans="1:2" x14ac:dyDescent="0.25">
      <c r="A378" s="3">
        <v>898320</v>
      </c>
      <c r="B378" s="3">
        <v>485905</v>
      </c>
    </row>
    <row r="379" spans="1:2" x14ac:dyDescent="0.25">
      <c r="A379" s="3">
        <v>644734</v>
      </c>
      <c r="B379" s="3">
        <v>485252</v>
      </c>
    </row>
    <row r="380" spans="1:2" x14ac:dyDescent="0.25">
      <c r="A380" s="3">
        <v>498724</v>
      </c>
      <c r="B380" s="3">
        <v>483061</v>
      </c>
    </row>
    <row r="381" spans="1:2" x14ac:dyDescent="0.25">
      <c r="A381" s="3">
        <v>385884</v>
      </c>
      <c r="B381" s="3">
        <v>482395</v>
      </c>
    </row>
    <row r="382" spans="1:2" x14ac:dyDescent="0.25">
      <c r="A382" s="3">
        <v>282390</v>
      </c>
      <c r="B382" s="3">
        <v>482195</v>
      </c>
    </row>
    <row r="383" spans="1:2" x14ac:dyDescent="0.25">
      <c r="A383" s="3">
        <v>489186</v>
      </c>
      <c r="B383" s="3">
        <v>481269</v>
      </c>
    </row>
    <row r="384" spans="1:2" x14ac:dyDescent="0.25">
      <c r="A384" s="3">
        <v>365922</v>
      </c>
      <c r="B384" s="3">
        <v>479111</v>
      </c>
    </row>
    <row r="385" spans="1:2" x14ac:dyDescent="0.25">
      <c r="A385" s="3">
        <v>843557</v>
      </c>
      <c r="B385" s="3">
        <v>476830</v>
      </c>
    </row>
    <row r="386" spans="1:2" x14ac:dyDescent="0.25">
      <c r="A386" s="3">
        <v>322464</v>
      </c>
      <c r="B386" s="3">
        <v>475870</v>
      </c>
    </row>
    <row r="387" spans="1:2" x14ac:dyDescent="0.25">
      <c r="A387" s="3">
        <v>331809</v>
      </c>
      <c r="B387" s="3">
        <v>474360</v>
      </c>
    </row>
    <row r="388" spans="1:2" x14ac:dyDescent="0.25">
      <c r="A388" s="3">
        <v>95638</v>
      </c>
      <c r="B388" s="3">
        <v>473061</v>
      </c>
    </row>
    <row r="389" spans="1:2" x14ac:dyDescent="0.25">
      <c r="A389" s="3">
        <v>261975</v>
      </c>
      <c r="B389" s="3">
        <v>472717</v>
      </c>
    </row>
    <row r="390" spans="1:2" x14ac:dyDescent="0.25">
      <c r="A390" s="3">
        <v>228858</v>
      </c>
      <c r="B390" s="3">
        <v>471675</v>
      </c>
    </row>
    <row r="391" spans="1:2" x14ac:dyDescent="0.25">
      <c r="A391" s="3">
        <v>533563</v>
      </c>
      <c r="B391" s="3">
        <v>471547</v>
      </c>
    </row>
    <row r="392" spans="1:2" x14ac:dyDescent="0.25">
      <c r="A392" s="3">
        <v>396682</v>
      </c>
      <c r="B392" s="3">
        <v>470267</v>
      </c>
    </row>
    <row r="393" spans="1:2" x14ac:dyDescent="0.25">
      <c r="A393" s="3">
        <v>997513</v>
      </c>
      <c r="B393" s="3">
        <v>467500</v>
      </c>
    </row>
    <row r="394" spans="1:2" x14ac:dyDescent="0.25">
      <c r="A394" s="3">
        <v>841008</v>
      </c>
      <c r="B394" s="3">
        <v>465315</v>
      </c>
    </row>
    <row r="395" spans="1:2" x14ac:dyDescent="0.25">
      <c r="A395" s="3">
        <v>419908</v>
      </c>
      <c r="B395" s="3">
        <v>463715</v>
      </c>
    </row>
    <row r="396" spans="1:2" x14ac:dyDescent="0.25">
      <c r="A396" s="3">
        <v>100861</v>
      </c>
      <c r="B396" s="3">
        <v>463695</v>
      </c>
    </row>
    <row r="397" spans="1:2" x14ac:dyDescent="0.25">
      <c r="A397" s="3">
        <v>667090</v>
      </c>
      <c r="B397" s="3">
        <v>462409</v>
      </c>
    </row>
    <row r="398" spans="1:2" x14ac:dyDescent="0.25">
      <c r="A398" s="3">
        <v>632123</v>
      </c>
      <c r="B398" s="3">
        <v>462149</v>
      </c>
    </row>
    <row r="399" spans="1:2" x14ac:dyDescent="0.25">
      <c r="A399" s="3">
        <v>586162</v>
      </c>
      <c r="B399" s="3">
        <v>459653</v>
      </c>
    </row>
    <row r="400" spans="1:2" x14ac:dyDescent="0.25">
      <c r="A400" s="3">
        <v>725199</v>
      </c>
      <c r="B400" s="3">
        <v>457930</v>
      </c>
    </row>
    <row r="401" spans="1:2" x14ac:dyDescent="0.25">
      <c r="A401" s="3">
        <v>951663</v>
      </c>
      <c r="B401" s="3">
        <v>457873</v>
      </c>
    </row>
    <row r="402" spans="1:2" x14ac:dyDescent="0.25">
      <c r="A402" s="3">
        <v>521925</v>
      </c>
      <c r="B402" s="3">
        <v>457460</v>
      </c>
    </row>
    <row r="403" spans="1:2" x14ac:dyDescent="0.25">
      <c r="A403" s="3">
        <v>744012</v>
      </c>
      <c r="B403" s="3">
        <v>454888</v>
      </c>
    </row>
    <row r="404" spans="1:2" x14ac:dyDescent="0.25">
      <c r="A404" s="3">
        <v>39639</v>
      </c>
      <c r="B404" s="3">
        <v>451250</v>
      </c>
    </row>
    <row r="405" spans="1:2" x14ac:dyDescent="0.25">
      <c r="A405" s="3">
        <v>927759</v>
      </c>
      <c r="B405" s="3">
        <v>451063</v>
      </c>
    </row>
    <row r="406" spans="1:2" x14ac:dyDescent="0.25">
      <c r="A406" s="3">
        <v>166848</v>
      </c>
      <c r="B406" s="3">
        <v>447182</v>
      </c>
    </row>
    <row r="407" spans="1:2" x14ac:dyDescent="0.25">
      <c r="A407" s="3">
        <v>611215</v>
      </c>
      <c r="B407" s="3">
        <v>447054</v>
      </c>
    </row>
    <row r="408" spans="1:2" x14ac:dyDescent="0.25">
      <c r="A408" s="3">
        <v>209522</v>
      </c>
      <c r="B408" s="3">
        <v>443257</v>
      </c>
    </row>
    <row r="409" spans="1:2" x14ac:dyDescent="0.25">
      <c r="A409" s="3">
        <v>542771</v>
      </c>
      <c r="B409" s="3">
        <v>437272</v>
      </c>
    </row>
    <row r="410" spans="1:2" x14ac:dyDescent="0.25">
      <c r="A410" s="3">
        <v>163668</v>
      </c>
      <c r="B410" s="3">
        <v>435088</v>
      </c>
    </row>
    <row r="411" spans="1:2" x14ac:dyDescent="0.25">
      <c r="A411" s="3">
        <v>835082</v>
      </c>
      <c r="B411" s="3">
        <v>430596</v>
      </c>
    </row>
    <row r="412" spans="1:2" x14ac:dyDescent="0.25">
      <c r="A412" s="3">
        <v>696770</v>
      </c>
      <c r="B412" s="3">
        <v>427577</v>
      </c>
    </row>
    <row r="413" spans="1:2" x14ac:dyDescent="0.25">
      <c r="A413" s="3">
        <v>104428</v>
      </c>
      <c r="B413" s="3">
        <v>425045</v>
      </c>
    </row>
    <row r="414" spans="1:2" x14ac:dyDescent="0.25">
      <c r="A414" s="3">
        <v>443257</v>
      </c>
      <c r="B414" s="3">
        <v>424560</v>
      </c>
    </row>
    <row r="415" spans="1:2" x14ac:dyDescent="0.25">
      <c r="A415" s="3">
        <v>794233</v>
      </c>
      <c r="B415" s="3">
        <v>422140</v>
      </c>
    </row>
    <row r="416" spans="1:2" x14ac:dyDescent="0.25">
      <c r="A416" s="3">
        <v>759116</v>
      </c>
      <c r="B416" s="3">
        <v>421743</v>
      </c>
    </row>
    <row r="417" spans="1:2" x14ac:dyDescent="0.25">
      <c r="A417" s="3">
        <v>29116</v>
      </c>
      <c r="B417" s="3">
        <v>419908</v>
      </c>
    </row>
    <row r="418" spans="1:2" x14ac:dyDescent="0.25">
      <c r="A418" s="3">
        <v>421743</v>
      </c>
      <c r="B418" s="3">
        <v>419742</v>
      </c>
    </row>
    <row r="419" spans="1:2" x14ac:dyDescent="0.25">
      <c r="A419" s="3">
        <v>700572</v>
      </c>
      <c r="B419" s="3">
        <v>419489</v>
      </c>
    </row>
    <row r="420" spans="1:2" x14ac:dyDescent="0.25">
      <c r="A420" s="3">
        <v>367514</v>
      </c>
      <c r="B420" s="3">
        <v>418806</v>
      </c>
    </row>
    <row r="421" spans="1:2" x14ac:dyDescent="0.25">
      <c r="A421" s="3">
        <v>948312</v>
      </c>
      <c r="B421" s="3">
        <v>416913</v>
      </c>
    </row>
    <row r="422" spans="1:2" x14ac:dyDescent="0.25">
      <c r="A422" s="3">
        <v>718848</v>
      </c>
      <c r="B422" s="3">
        <v>416239</v>
      </c>
    </row>
    <row r="423" spans="1:2" x14ac:dyDescent="0.25">
      <c r="A423" s="3">
        <v>225384</v>
      </c>
      <c r="B423" s="3">
        <v>415064</v>
      </c>
    </row>
    <row r="424" spans="1:2" x14ac:dyDescent="0.25">
      <c r="A424" s="3">
        <v>846073</v>
      </c>
      <c r="B424" s="3">
        <v>411979</v>
      </c>
    </row>
    <row r="425" spans="1:2" x14ac:dyDescent="0.25">
      <c r="A425" s="3">
        <v>734930</v>
      </c>
      <c r="B425" s="3">
        <v>411091</v>
      </c>
    </row>
    <row r="426" spans="1:2" x14ac:dyDescent="0.25">
      <c r="A426" s="3">
        <v>123266</v>
      </c>
      <c r="B426" s="3">
        <v>410401</v>
      </c>
    </row>
    <row r="427" spans="1:2" x14ac:dyDescent="0.25">
      <c r="A427" s="3">
        <v>983974</v>
      </c>
      <c r="B427" s="3">
        <v>410014</v>
      </c>
    </row>
    <row r="428" spans="1:2" x14ac:dyDescent="0.25">
      <c r="A428" s="3">
        <v>194964</v>
      </c>
      <c r="B428" s="3">
        <v>408567</v>
      </c>
    </row>
    <row r="429" spans="1:2" x14ac:dyDescent="0.25">
      <c r="A429" s="3">
        <v>911907</v>
      </c>
      <c r="B429" s="3">
        <v>405673</v>
      </c>
    </row>
    <row r="430" spans="1:2" x14ac:dyDescent="0.25">
      <c r="A430" s="3">
        <v>961026</v>
      </c>
      <c r="B430" s="3">
        <v>404690</v>
      </c>
    </row>
    <row r="431" spans="1:2" x14ac:dyDescent="0.25">
      <c r="A431" s="3">
        <v>386278</v>
      </c>
      <c r="B431" s="3">
        <v>404184</v>
      </c>
    </row>
    <row r="432" spans="1:2" x14ac:dyDescent="0.25">
      <c r="A432" s="3">
        <v>90248</v>
      </c>
      <c r="B432" s="3">
        <v>400316</v>
      </c>
    </row>
    <row r="433" spans="1:2" x14ac:dyDescent="0.25">
      <c r="A433" s="3">
        <v>669258</v>
      </c>
      <c r="B433" s="3">
        <v>400110</v>
      </c>
    </row>
    <row r="434" spans="1:2" x14ac:dyDescent="0.25">
      <c r="A434" s="3">
        <v>985817</v>
      </c>
      <c r="B434" s="3">
        <v>398920</v>
      </c>
    </row>
    <row r="435" spans="1:2" x14ac:dyDescent="0.25">
      <c r="A435" s="3">
        <v>166472</v>
      </c>
      <c r="B435" s="3">
        <v>396682</v>
      </c>
    </row>
    <row r="436" spans="1:2" x14ac:dyDescent="0.25">
      <c r="A436" s="3">
        <v>681175</v>
      </c>
      <c r="B436" s="3">
        <v>396439</v>
      </c>
    </row>
    <row r="437" spans="1:2" x14ac:dyDescent="0.25">
      <c r="A437" s="3">
        <v>82761</v>
      </c>
      <c r="B437" s="3">
        <v>391938</v>
      </c>
    </row>
    <row r="438" spans="1:2" x14ac:dyDescent="0.25">
      <c r="A438" s="3">
        <v>437272</v>
      </c>
      <c r="B438" s="3">
        <v>391748</v>
      </c>
    </row>
    <row r="439" spans="1:2" x14ac:dyDescent="0.25">
      <c r="A439" s="3">
        <v>32689</v>
      </c>
      <c r="B439" s="3">
        <v>389624</v>
      </c>
    </row>
    <row r="440" spans="1:2" x14ac:dyDescent="0.25">
      <c r="A440" s="3">
        <v>302463</v>
      </c>
      <c r="B440" s="3">
        <v>387501</v>
      </c>
    </row>
    <row r="441" spans="1:2" x14ac:dyDescent="0.25">
      <c r="A441" s="3">
        <v>886632</v>
      </c>
      <c r="B441" s="3">
        <v>386278</v>
      </c>
    </row>
    <row r="442" spans="1:2" x14ac:dyDescent="0.25">
      <c r="A442" s="3">
        <v>57174</v>
      </c>
      <c r="B442" s="3">
        <v>385884</v>
      </c>
    </row>
    <row r="443" spans="1:2" x14ac:dyDescent="0.25">
      <c r="A443" s="3">
        <v>200804</v>
      </c>
      <c r="B443" s="3">
        <v>385813</v>
      </c>
    </row>
    <row r="444" spans="1:2" x14ac:dyDescent="0.25">
      <c r="A444" s="3">
        <v>624924</v>
      </c>
      <c r="B444" s="3">
        <v>378994</v>
      </c>
    </row>
    <row r="445" spans="1:2" x14ac:dyDescent="0.25">
      <c r="A445" s="3">
        <v>447182</v>
      </c>
      <c r="B445" s="3">
        <v>375009</v>
      </c>
    </row>
    <row r="446" spans="1:2" x14ac:dyDescent="0.25">
      <c r="A446" s="3">
        <v>472717</v>
      </c>
      <c r="B446" s="3">
        <v>370780</v>
      </c>
    </row>
    <row r="447" spans="1:2" x14ac:dyDescent="0.25">
      <c r="A447" s="3">
        <v>481269</v>
      </c>
      <c r="B447" s="3">
        <v>369302</v>
      </c>
    </row>
    <row r="448" spans="1:2" x14ac:dyDescent="0.25">
      <c r="A448" s="3">
        <v>182802</v>
      </c>
      <c r="B448" s="3">
        <v>367514</v>
      </c>
    </row>
    <row r="449" spans="1:2" x14ac:dyDescent="0.25">
      <c r="A449" s="3">
        <v>37550</v>
      </c>
      <c r="B449" s="3">
        <v>366904</v>
      </c>
    </row>
    <row r="450" spans="1:2" x14ac:dyDescent="0.25">
      <c r="A450" s="3">
        <v>422140</v>
      </c>
      <c r="B450" s="3">
        <v>365922</v>
      </c>
    </row>
    <row r="451" spans="1:2" x14ac:dyDescent="0.25">
      <c r="A451" s="3">
        <v>789211</v>
      </c>
      <c r="B451" s="3">
        <v>364735</v>
      </c>
    </row>
    <row r="452" spans="1:2" x14ac:dyDescent="0.25">
      <c r="A452" s="3">
        <v>928276</v>
      </c>
      <c r="B452" s="3">
        <v>363832</v>
      </c>
    </row>
    <row r="453" spans="1:2" x14ac:dyDescent="0.25">
      <c r="A453" s="3">
        <v>874568</v>
      </c>
      <c r="B453" s="3">
        <v>363318</v>
      </c>
    </row>
    <row r="454" spans="1:2" x14ac:dyDescent="0.25">
      <c r="A454" s="3">
        <v>139462</v>
      </c>
      <c r="B454" s="3">
        <v>358020</v>
      </c>
    </row>
    <row r="455" spans="1:2" x14ac:dyDescent="0.25">
      <c r="A455" s="3">
        <v>140020</v>
      </c>
      <c r="B455" s="3">
        <v>356959</v>
      </c>
    </row>
    <row r="456" spans="1:2" x14ac:dyDescent="0.25">
      <c r="A456" s="3">
        <v>65223</v>
      </c>
      <c r="B456" s="3">
        <v>355666</v>
      </c>
    </row>
    <row r="457" spans="1:2" x14ac:dyDescent="0.25">
      <c r="A457" s="3">
        <v>999153</v>
      </c>
      <c r="B457" s="3">
        <v>354673</v>
      </c>
    </row>
    <row r="458" spans="1:2" x14ac:dyDescent="0.25">
      <c r="A458" s="3">
        <v>891704</v>
      </c>
      <c r="B458" s="3">
        <v>354544</v>
      </c>
    </row>
    <row r="459" spans="1:2" x14ac:dyDescent="0.25">
      <c r="A459" s="3">
        <v>986531</v>
      </c>
      <c r="B459" s="3">
        <v>352817</v>
      </c>
    </row>
    <row r="460" spans="1:2" x14ac:dyDescent="0.25">
      <c r="A460" s="3">
        <v>507022</v>
      </c>
      <c r="B460" s="3">
        <v>351670</v>
      </c>
    </row>
    <row r="461" spans="1:2" x14ac:dyDescent="0.25">
      <c r="A461" s="3">
        <v>415064</v>
      </c>
      <c r="B461" s="3">
        <v>349566</v>
      </c>
    </row>
    <row r="462" spans="1:2" x14ac:dyDescent="0.25">
      <c r="A462" s="3">
        <v>533960</v>
      </c>
      <c r="B462" s="3">
        <v>349219</v>
      </c>
    </row>
    <row r="463" spans="1:2" x14ac:dyDescent="0.25">
      <c r="A463" s="3">
        <v>239908</v>
      </c>
      <c r="B463" s="3">
        <v>347997</v>
      </c>
    </row>
    <row r="464" spans="1:2" x14ac:dyDescent="0.25">
      <c r="A464" s="3">
        <v>543813</v>
      </c>
      <c r="B464" s="3">
        <v>345028</v>
      </c>
    </row>
    <row r="465" spans="1:2" x14ac:dyDescent="0.25">
      <c r="A465" s="3">
        <v>763969</v>
      </c>
      <c r="B465" s="3">
        <v>344070</v>
      </c>
    </row>
    <row r="466" spans="1:2" x14ac:dyDescent="0.25">
      <c r="A466" s="3">
        <v>900050</v>
      </c>
      <c r="B466" s="3">
        <v>343415</v>
      </c>
    </row>
    <row r="467" spans="1:2" x14ac:dyDescent="0.25">
      <c r="A467" s="3">
        <v>535971</v>
      </c>
      <c r="B467" s="3">
        <v>343318</v>
      </c>
    </row>
    <row r="468" spans="1:2" x14ac:dyDescent="0.25">
      <c r="A468" s="3">
        <v>928108</v>
      </c>
      <c r="B468" s="3">
        <v>339603</v>
      </c>
    </row>
    <row r="469" spans="1:2" x14ac:dyDescent="0.25">
      <c r="A469" s="3">
        <v>937003</v>
      </c>
      <c r="B469" s="3">
        <v>338704</v>
      </c>
    </row>
    <row r="470" spans="1:2" x14ac:dyDescent="0.25">
      <c r="A470" s="3">
        <v>369302</v>
      </c>
      <c r="B470" s="3">
        <v>337276</v>
      </c>
    </row>
    <row r="471" spans="1:2" x14ac:dyDescent="0.25">
      <c r="A471" s="3">
        <v>999508</v>
      </c>
      <c r="B471" s="3">
        <v>335520</v>
      </c>
    </row>
    <row r="472" spans="1:2" x14ac:dyDescent="0.25">
      <c r="A472" s="3">
        <v>26941</v>
      </c>
      <c r="B472" s="3">
        <v>334962</v>
      </c>
    </row>
    <row r="473" spans="1:2" x14ac:dyDescent="0.25">
      <c r="A473" s="3">
        <v>40839</v>
      </c>
      <c r="B473" s="3">
        <v>334796</v>
      </c>
    </row>
    <row r="474" spans="1:2" x14ac:dyDescent="0.25">
      <c r="A474" s="3">
        <v>614769</v>
      </c>
      <c r="B474" s="3">
        <v>331809</v>
      </c>
    </row>
    <row r="475" spans="1:2" x14ac:dyDescent="0.25">
      <c r="A475" s="3">
        <v>517210</v>
      </c>
      <c r="B475" s="3">
        <v>329547</v>
      </c>
    </row>
    <row r="476" spans="1:2" x14ac:dyDescent="0.25">
      <c r="A476" s="3">
        <v>179481</v>
      </c>
      <c r="B476" s="3">
        <v>328782</v>
      </c>
    </row>
    <row r="477" spans="1:2" x14ac:dyDescent="0.25">
      <c r="A477" s="3">
        <v>497404</v>
      </c>
      <c r="B477" s="3">
        <v>326985</v>
      </c>
    </row>
    <row r="478" spans="1:2" x14ac:dyDescent="0.25">
      <c r="A478" s="3">
        <v>847965</v>
      </c>
      <c r="B478" s="3">
        <v>324646</v>
      </c>
    </row>
    <row r="479" spans="1:2" x14ac:dyDescent="0.25">
      <c r="A479" s="3">
        <v>354544</v>
      </c>
      <c r="B479" s="3">
        <v>324424</v>
      </c>
    </row>
    <row r="480" spans="1:2" x14ac:dyDescent="0.25">
      <c r="A480" s="3">
        <v>556132</v>
      </c>
      <c r="B480" s="3">
        <v>323832</v>
      </c>
    </row>
    <row r="481" spans="1:2" x14ac:dyDescent="0.25">
      <c r="A481" s="3">
        <v>326985</v>
      </c>
      <c r="B481" s="3">
        <v>322464</v>
      </c>
    </row>
    <row r="482" spans="1:2" x14ac:dyDescent="0.25">
      <c r="A482" s="3">
        <v>895183</v>
      </c>
      <c r="B482" s="3">
        <v>320972</v>
      </c>
    </row>
    <row r="483" spans="1:2" x14ac:dyDescent="0.25">
      <c r="A483" s="3">
        <v>872139</v>
      </c>
      <c r="B483" s="3">
        <v>318949</v>
      </c>
    </row>
    <row r="484" spans="1:2" x14ac:dyDescent="0.25">
      <c r="A484" s="3">
        <v>748436</v>
      </c>
      <c r="B484" s="3">
        <v>317523</v>
      </c>
    </row>
    <row r="485" spans="1:2" x14ac:dyDescent="0.25">
      <c r="A485" s="3">
        <v>457873</v>
      </c>
      <c r="B485" s="3">
        <v>317081</v>
      </c>
    </row>
    <row r="486" spans="1:2" x14ac:dyDescent="0.25">
      <c r="A486" s="3">
        <v>99778</v>
      </c>
      <c r="B486" s="3">
        <v>314031</v>
      </c>
    </row>
    <row r="487" spans="1:2" x14ac:dyDescent="0.25">
      <c r="A487" s="3">
        <v>248895</v>
      </c>
      <c r="B487" s="3">
        <v>309748</v>
      </c>
    </row>
    <row r="488" spans="1:2" x14ac:dyDescent="0.25">
      <c r="A488" s="3">
        <v>408567</v>
      </c>
      <c r="B488" s="3">
        <v>307808</v>
      </c>
    </row>
    <row r="489" spans="1:2" x14ac:dyDescent="0.25">
      <c r="A489" s="3">
        <v>235156</v>
      </c>
      <c r="B489" s="3">
        <v>302463</v>
      </c>
    </row>
    <row r="490" spans="1:2" x14ac:dyDescent="0.25">
      <c r="A490" s="3">
        <v>568145</v>
      </c>
      <c r="B490" s="3">
        <v>301356</v>
      </c>
    </row>
    <row r="491" spans="1:2" x14ac:dyDescent="0.25">
      <c r="A491" s="3">
        <v>825835</v>
      </c>
      <c r="B491" s="3">
        <v>299591</v>
      </c>
    </row>
    <row r="492" spans="1:2" x14ac:dyDescent="0.25">
      <c r="A492" s="3">
        <v>234393</v>
      </c>
      <c r="B492" s="3">
        <v>299381</v>
      </c>
    </row>
    <row r="493" spans="1:2" x14ac:dyDescent="0.25">
      <c r="A493" s="3">
        <v>960756</v>
      </c>
      <c r="B493" s="3">
        <v>295954</v>
      </c>
    </row>
    <row r="494" spans="1:2" x14ac:dyDescent="0.25">
      <c r="A494" s="3">
        <v>270283</v>
      </c>
      <c r="B494" s="3">
        <v>289261</v>
      </c>
    </row>
    <row r="495" spans="1:2" x14ac:dyDescent="0.25">
      <c r="A495" s="3">
        <v>991084</v>
      </c>
      <c r="B495" s="3">
        <v>288902</v>
      </c>
    </row>
    <row r="496" spans="1:2" x14ac:dyDescent="0.25">
      <c r="A496" s="3">
        <v>36723</v>
      </c>
      <c r="B496" s="3">
        <v>288352</v>
      </c>
    </row>
    <row r="497" spans="1:2" x14ac:dyDescent="0.25">
      <c r="A497" s="3">
        <v>10466</v>
      </c>
      <c r="B497" s="3">
        <v>287703</v>
      </c>
    </row>
    <row r="498" spans="1:2" x14ac:dyDescent="0.25">
      <c r="A498" s="3">
        <v>986301</v>
      </c>
      <c r="B498" s="3">
        <v>286891</v>
      </c>
    </row>
    <row r="499" spans="1:2" x14ac:dyDescent="0.25">
      <c r="A499" s="3">
        <v>592001</v>
      </c>
      <c r="B499" s="3">
        <v>282837</v>
      </c>
    </row>
    <row r="500" spans="1:2" x14ac:dyDescent="0.25">
      <c r="A500" s="3">
        <v>619513</v>
      </c>
      <c r="B500" s="3">
        <v>282390</v>
      </c>
    </row>
    <row r="501" spans="1:2" x14ac:dyDescent="0.25">
      <c r="A501" s="3">
        <v>262324</v>
      </c>
      <c r="B501" s="3">
        <v>281167</v>
      </c>
    </row>
    <row r="502" spans="1:2" x14ac:dyDescent="0.25">
      <c r="A502" s="3">
        <v>419742</v>
      </c>
      <c r="B502" s="3">
        <v>279954</v>
      </c>
    </row>
    <row r="503" spans="1:2" x14ac:dyDescent="0.25">
      <c r="A503" s="3">
        <v>27373</v>
      </c>
      <c r="B503" s="3">
        <v>279726</v>
      </c>
    </row>
    <row r="504" spans="1:2" x14ac:dyDescent="0.25">
      <c r="A504" s="3">
        <v>68219</v>
      </c>
      <c r="B504" s="3">
        <v>275994</v>
      </c>
    </row>
    <row r="505" spans="1:2" x14ac:dyDescent="0.25">
      <c r="A505" s="3">
        <v>875632</v>
      </c>
      <c r="B505" s="3">
        <v>274594</v>
      </c>
    </row>
    <row r="506" spans="1:2" x14ac:dyDescent="0.25">
      <c r="A506" s="3">
        <v>33514</v>
      </c>
      <c r="B506" s="3">
        <v>274502</v>
      </c>
    </row>
    <row r="507" spans="1:2" x14ac:dyDescent="0.25">
      <c r="A507" s="3">
        <v>28006</v>
      </c>
      <c r="B507" s="3">
        <v>274085</v>
      </c>
    </row>
    <row r="508" spans="1:2" x14ac:dyDescent="0.25">
      <c r="A508" s="3">
        <v>875478</v>
      </c>
      <c r="B508" s="3">
        <v>271516</v>
      </c>
    </row>
    <row r="509" spans="1:2" x14ac:dyDescent="0.25">
      <c r="A509" s="3">
        <v>375009</v>
      </c>
      <c r="B509" s="3">
        <v>270283</v>
      </c>
    </row>
    <row r="510" spans="1:2" x14ac:dyDescent="0.25">
      <c r="A510" s="3">
        <v>274085</v>
      </c>
      <c r="B510" s="3">
        <v>269424</v>
      </c>
    </row>
    <row r="511" spans="1:2" x14ac:dyDescent="0.25">
      <c r="A511" s="3">
        <v>26936</v>
      </c>
      <c r="B511" s="3">
        <v>269384</v>
      </c>
    </row>
    <row r="512" spans="1:2" x14ac:dyDescent="0.25">
      <c r="A512" s="3">
        <v>836848</v>
      </c>
      <c r="B512" s="3">
        <v>268789</v>
      </c>
    </row>
    <row r="513" spans="1:2" x14ac:dyDescent="0.25">
      <c r="A513" s="3">
        <v>693481</v>
      </c>
      <c r="B513" s="3">
        <v>262324</v>
      </c>
    </row>
    <row r="514" spans="1:2" x14ac:dyDescent="0.25">
      <c r="A514" s="3">
        <v>76074</v>
      </c>
      <c r="B514" s="3">
        <v>261975</v>
      </c>
    </row>
    <row r="515" spans="1:2" x14ac:dyDescent="0.25">
      <c r="A515" s="3">
        <v>222128</v>
      </c>
      <c r="B515" s="3">
        <v>258206</v>
      </c>
    </row>
    <row r="516" spans="1:2" x14ac:dyDescent="0.25">
      <c r="A516" s="3">
        <v>410014</v>
      </c>
      <c r="B516" s="3">
        <v>254519</v>
      </c>
    </row>
    <row r="517" spans="1:2" x14ac:dyDescent="0.25">
      <c r="A517" s="3">
        <v>314031</v>
      </c>
      <c r="B517" s="3">
        <v>254352</v>
      </c>
    </row>
    <row r="518" spans="1:2" x14ac:dyDescent="0.25">
      <c r="A518" s="3">
        <v>867547</v>
      </c>
      <c r="B518" s="3">
        <v>253414</v>
      </c>
    </row>
    <row r="519" spans="1:2" x14ac:dyDescent="0.25">
      <c r="A519" s="3">
        <v>112436</v>
      </c>
      <c r="B519" s="3">
        <v>251925</v>
      </c>
    </row>
    <row r="520" spans="1:2" x14ac:dyDescent="0.25">
      <c r="A520" s="3">
        <v>854386</v>
      </c>
      <c r="B520" s="3">
        <v>251759</v>
      </c>
    </row>
    <row r="521" spans="1:2" x14ac:dyDescent="0.25">
      <c r="A521" s="3">
        <v>251759</v>
      </c>
      <c r="B521" s="3">
        <v>251587</v>
      </c>
    </row>
    <row r="522" spans="1:2" x14ac:dyDescent="0.25">
      <c r="A522" s="3">
        <v>833580</v>
      </c>
      <c r="B522" s="3">
        <v>250871</v>
      </c>
    </row>
    <row r="523" spans="1:2" x14ac:dyDescent="0.25">
      <c r="A523" s="3">
        <v>728056</v>
      </c>
      <c r="B523" s="3">
        <v>250839</v>
      </c>
    </row>
    <row r="524" spans="1:2" x14ac:dyDescent="0.25">
      <c r="A524" s="3">
        <v>813809</v>
      </c>
      <c r="B524" s="3">
        <v>250763</v>
      </c>
    </row>
    <row r="525" spans="1:2" x14ac:dyDescent="0.25">
      <c r="A525" s="3">
        <v>972689</v>
      </c>
      <c r="B525" s="3">
        <v>250214</v>
      </c>
    </row>
    <row r="526" spans="1:2" x14ac:dyDescent="0.25">
      <c r="A526" s="3">
        <v>538396</v>
      </c>
      <c r="B526" s="3">
        <v>249116</v>
      </c>
    </row>
    <row r="527" spans="1:2" x14ac:dyDescent="0.25">
      <c r="A527" s="3">
        <v>524880</v>
      </c>
      <c r="B527" s="3">
        <v>248895</v>
      </c>
    </row>
    <row r="528" spans="1:2" x14ac:dyDescent="0.25">
      <c r="A528" s="3">
        <v>929016</v>
      </c>
      <c r="B528" s="3">
        <v>244606</v>
      </c>
    </row>
    <row r="529" spans="1:2" x14ac:dyDescent="0.25">
      <c r="A529" s="3">
        <v>754178</v>
      </c>
      <c r="B529" s="3">
        <v>243592</v>
      </c>
    </row>
    <row r="530" spans="1:2" x14ac:dyDescent="0.25">
      <c r="A530" s="3">
        <v>16334</v>
      </c>
      <c r="B530" s="3">
        <v>242587</v>
      </c>
    </row>
    <row r="531" spans="1:2" x14ac:dyDescent="0.25">
      <c r="A531" s="3">
        <v>64975</v>
      </c>
      <c r="B531" s="3">
        <v>242252</v>
      </c>
    </row>
    <row r="532" spans="1:2" x14ac:dyDescent="0.25">
      <c r="A532" s="3">
        <v>834763</v>
      </c>
      <c r="B532" s="3">
        <v>241505</v>
      </c>
    </row>
    <row r="533" spans="1:2" x14ac:dyDescent="0.25">
      <c r="A533" s="3">
        <v>793342</v>
      </c>
      <c r="B533" s="3">
        <v>241303</v>
      </c>
    </row>
    <row r="534" spans="1:2" x14ac:dyDescent="0.25">
      <c r="A534" s="3">
        <v>140592</v>
      </c>
      <c r="B534" s="3">
        <v>239908</v>
      </c>
    </row>
    <row r="535" spans="1:2" x14ac:dyDescent="0.25">
      <c r="A535" s="3">
        <v>92986</v>
      </c>
      <c r="B535" s="3">
        <v>237739</v>
      </c>
    </row>
    <row r="536" spans="1:2" x14ac:dyDescent="0.25">
      <c r="A536" s="3">
        <v>752254</v>
      </c>
      <c r="B536" s="3">
        <v>237222</v>
      </c>
    </row>
    <row r="537" spans="1:2" x14ac:dyDescent="0.25">
      <c r="A537" s="3">
        <v>583680</v>
      </c>
      <c r="B537" s="3">
        <v>235535</v>
      </c>
    </row>
    <row r="538" spans="1:2" x14ac:dyDescent="0.25">
      <c r="A538" s="3">
        <v>522042</v>
      </c>
      <c r="B538" s="3">
        <v>235156</v>
      </c>
    </row>
    <row r="539" spans="1:2" x14ac:dyDescent="0.25">
      <c r="A539" s="3">
        <v>506331</v>
      </c>
      <c r="B539" s="3">
        <v>234848</v>
      </c>
    </row>
    <row r="540" spans="1:2" x14ac:dyDescent="0.25">
      <c r="A540" s="3">
        <v>154484</v>
      </c>
      <c r="B540" s="3">
        <v>234393</v>
      </c>
    </row>
    <row r="541" spans="1:2" x14ac:dyDescent="0.25">
      <c r="A541" s="3">
        <v>846854</v>
      </c>
      <c r="B541" s="3">
        <v>233406</v>
      </c>
    </row>
    <row r="542" spans="1:2" x14ac:dyDescent="0.25">
      <c r="A542" s="3">
        <v>550329</v>
      </c>
      <c r="B542" s="3">
        <v>232452</v>
      </c>
    </row>
    <row r="543" spans="1:2" x14ac:dyDescent="0.25">
      <c r="A543" s="3">
        <v>846438</v>
      </c>
      <c r="B543" s="3">
        <v>230585</v>
      </c>
    </row>
    <row r="544" spans="1:2" x14ac:dyDescent="0.25">
      <c r="A544" s="3">
        <v>683225</v>
      </c>
      <c r="B544" s="3">
        <v>230003</v>
      </c>
    </row>
    <row r="545" spans="1:2" x14ac:dyDescent="0.25">
      <c r="A545" s="3">
        <v>114942</v>
      </c>
      <c r="B545" s="3">
        <v>228858</v>
      </c>
    </row>
    <row r="546" spans="1:2" x14ac:dyDescent="0.25">
      <c r="A546" s="3">
        <v>279726</v>
      </c>
      <c r="B546" s="3">
        <v>227830</v>
      </c>
    </row>
    <row r="547" spans="1:2" x14ac:dyDescent="0.25">
      <c r="A547" s="3">
        <v>982063</v>
      </c>
      <c r="B547" s="3">
        <v>225813</v>
      </c>
    </row>
    <row r="548" spans="1:2" x14ac:dyDescent="0.25">
      <c r="A548" s="3">
        <v>860561</v>
      </c>
      <c r="B548" s="3">
        <v>222740</v>
      </c>
    </row>
    <row r="549" spans="1:2" x14ac:dyDescent="0.25">
      <c r="A549" s="3">
        <v>299591</v>
      </c>
      <c r="B549" s="3">
        <v>222128</v>
      </c>
    </row>
    <row r="550" spans="1:2" x14ac:dyDescent="0.25">
      <c r="A550" s="3">
        <v>391938</v>
      </c>
      <c r="B550" s="3">
        <v>221525</v>
      </c>
    </row>
    <row r="551" spans="1:2" x14ac:dyDescent="0.25">
      <c r="A551" s="3">
        <v>497828</v>
      </c>
      <c r="B551" s="3">
        <v>217564</v>
      </c>
    </row>
    <row r="552" spans="1:2" x14ac:dyDescent="0.25">
      <c r="A552" s="3">
        <v>163082</v>
      </c>
      <c r="B552" s="3">
        <v>217532</v>
      </c>
    </row>
    <row r="553" spans="1:2" x14ac:dyDescent="0.25">
      <c r="A553" s="3">
        <v>411091</v>
      </c>
      <c r="B553" s="3">
        <v>209522</v>
      </c>
    </row>
    <row r="554" spans="1:2" x14ac:dyDescent="0.25">
      <c r="A554" s="3">
        <v>577993</v>
      </c>
      <c r="B554" s="3">
        <v>206890</v>
      </c>
    </row>
    <row r="555" spans="1:2" x14ac:dyDescent="0.25">
      <c r="A555" s="3">
        <v>704685</v>
      </c>
      <c r="B555" s="3">
        <v>206420</v>
      </c>
    </row>
    <row r="556" spans="1:2" x14ac:dyDescent="0.25">
      <c r="A556" s="3">
        <v>932479</v>
      </c>
      <c r="B556" s="3">
        <v>206045</v>
      </c>
    </row>
    <row r="557" spans="1:2" x14ac:dyDescent="0.25">
      <c r="A557" s="3">
        <v>485905</v>
      </c>
      <c r="B557" s="3">
        <v>205841</v>
      </c>
    </row>
    <row r="558" spans="1:2" x14ac:dyDescent="0.25">
      <c r="A558" s="3">
        <v>717582</v>
      </c>
      <c r="B558" s="3">
        <v>203270</v>
      </c>
    </row>
    <row r="559" spans="1:2" x14ac:dyDescent="0.25">
      <c r="A559" s="3">
        <v>425045</v>
      </c>
      <c r="B559" s="3">
        <v>203250</v>
      </c>
    </row>
    <row r="560" spans="1:2" x14ac:dyDescent="0.25">
      <c r="A560" s="3">
        <v>251587</v>
      </c>
      <c r="B560" s="3">
        <v>202513</v>
      </c>
    </row>
    <row r="561" spans="1:2" x14ac:dyDescent="0.25">
      <c r="A561" s="3">
        <v>69797</v>
      </c>
      <c r="B561" s="3">
        <v>200804</v>
      </c>
    </row>
    <row r="562" spans="1:2" x14ac:dyDescent="0.25">
      <c r="A562" s="3">
        <v>206890</v>
      </c>
      <c r="B562" s="3">
        <v>194964</v>
      </c>
    </row>
    <row r="563" spans="1:2" x14ac:dyDescent="0.25">
      <c r="A563" s="3">
        <v>590903</v>
      </c>
      <c r="B563" s="3">
        <v>194529</v>
      </c>
    </row>
    <row r="564" spans="1:2" x14ac:dyDescent="0.25">
      <c r="A564" s="3">
        <v>339603</v>
      </c>
      <c r="B564" s="3">
        <v>192084</v>
      </c>
    </row>
    <row r="565" spans="1:2" x14ac:dyDescent="0.25">
      <c r="A565" s="3">
        <v>183578</v>
      </c>
      <c r="B565" s="3">
        <v>186474</v>
      </c>
    </row>
    <row r="566" spans="1:2" x14ac:dyDescent="0.25">
      <c r="A566" s="3">
        <v>70183</v>
      </c>
      <c r="B566" s="3">
        <v>183578</v>
      </c>
    </row>
    <row r="567" spans="1:2" x14ac:dyDescent="0.25">
      <c r="A567" s="3">
        <v>609144</v>
      </c>
      <c r="B567" s="3">
        <v>182802</v>
      </c>
    </row>
    <row r="568" spans="1:2" x14ac:dyDescent="0.25">
      <c r="A568" s="3">
        <v>254352</v>
      </c>
      <c r="B568" s="3">
        <v>182597</v>
      </c>
    </row>
    <row r="569" spans="1:2" x14ac:dyDescent="0.25">
      <c r="A569" s="3">
        <v>612299</v>
      </c>
      <c r="B569" s="3">
        <v>179481</v>
      </c>
    </row>
    <row r="570" spans="1:2" x14ac:dyDescent="0.25">
      <c r="A570" s="3">
        <v>279954</v>
      </c>
      <c r="B570" s="3">
        <v>177269</v>
      </c>
    </row>
    <row r="571" spans="1:2" x14ac:dyDescent="0.25">
      <c r="A571" s="3">
        <v>859873</v>
      </c>
      <c r="B571" s="3">
        <v>177244</v>
      </c>
    </row>
    <row r="572" spans="1:2" x14ac:dyDescent="0.25">
      <c r="A572" s="3">
        <v>318949</v>
      </c>
      <c r="B572" s="3">
        <v>173632</v>
      </c>
    </row>
    <row r="573" spans="1:2" x14ac:dyDescent="0.25">
      <c r="A573" s="3">
        <v>804454</v>
      </c>
      <c r="B573" s="3">
        <v>172560</v>
      </c>
    </row>
    <row r="574" spans="1:2" x14ac:dyDescent="0.25">
      <c r="A574" s="3">
        <v>71475</v>
      </c>
      <c r="B574" s="3">
        <v>170420</v>
      </c>
    </row>
    <row r="575" spans="1:2" x14ac:dyDescent="0.25">
      <c r="A575" s="3">
        <v>629678</v>
      </c>
      <c r="B575" s="3">
        <v>170034</v>
      </c>
    </row>
    <row r="576" spans="1:2" x14ac:dyDescent="0.25">
      <c r="A576" s="3">
        <v>838447</v>
      </c>
      <c r="B576" s="3">
        <v>169013</v>
      </c>
    </row>
    <row r="577" spans="1:2" x14ac:dyDescent="0.25">
      <c r="A577" s="3">
        <v>235535</v>
      </c>
      <c r="B577" s="3">
        <v>168512</v>
      </c>
    </row>
    <row r="578" spans="1:2" x14ac:dyDescent="0.25">
      <c r="A578" s="3">
        <v>788337</v>
      </c>
      <c r="B578" s="3">
        <v>166848</v>
      </c>
    </row>
    <row r="579" spans="1:2" x14ac:dyDescent="0.25">
      <c r="A579" s="3">
        <v>24393</v>
      </c>
      <c r="B579" s="3">
        <v>166472</v>
      </c>
    </row>
    <row r="580" spans="1:2" x14ac:dyDescent="0.25">
      <c r="A580" s="3">
        <v>177269</v>
      </c>
      <c r="B580" s="3">
        <v>164066</v>
      </c>
    </row>
    <row r="581" spans="1:2" x14ac:dyDescent="0.25">
      <c r="A581" s="3">
        <v>816152</v>
      </c>
      <c r="B581" s="3">
        <v>163668</v>
      </c>
    </row>
    <row r="582" spans="1:2" x14ac:dyDescent="0.25">
      <c r="A582" s="3">
        <v>863214</v>
      </c>
      <c r="B582" s="3">
        <v>163082</v>
      </c>
    </row>
    <row r="583" spans="1:2" x14ac:dyDescent="0.25">
      <c r="A583" s="3">
        <v>69883</v>
      </c>
      <c r="B583" s="3">
        <v>154484</v>
      </c>
    </row>
    <row r="584" spans="1:2" x14ac:dyDescent="0.25">
      <c r="A584" s="3">
        <v>65412</v>
      </c>
      <c r="B584" s="3">
        <v>149226</v>
      </c>
    </row>
    <row r="585" spans="1:2" x14ac:dyDescent="0.25">
      <c r="A585" s="3">
        <v>986708</v>
      </c>
      <c r="B585" s="3">
        <v>148072</v>
      </c>
    </row>
    <row r="586" spans="1:2" x14ac:dyDescent="0.25">
      <c r="A586" s="3">
        <v>286891</v>
      </c>
      <c r="B586" s="3">
        <v>147689</v>
      </c>
    </row>
    <row r="587" spans="1:2" x14ac:dyDescent="0.25">
      <c r="A587" s="3">
        <v>217564</v>
      </c>
      <c r="B587" s="3">
        <v>146577</v>
      </c>
    </row>
    <row r="588" spans="1:2" x14ac:dyDescent="0.25">
      <c r="A588" s="3">
        <v>921384</v>
      </c>
      <c r="B588" s="3">
        <v>146471</v>
      </c>
    </row>
    <row r="589" spans="1:2" x14ac:dyDescent="0.25">
      <c r="A589" s="3">
        <v>470267</v>
      </c>
      <c r="B589" s="3">
        <v>144915</v>
      </c>
    </row>
    <row r="590" spans="1:2" x14ac:dyDescent="0.25">
      <c r="A590" s="3">
        <v>269384</v>
      </c>
      <c r="B590" s="3">
        <v>142994</v>
      </c>
    </row>
    <row r="591" spans="1:2" x14ac:dyDescent="0.25">
      <c r="A591" s="3">
        <v>870296</v>
      </c>
      <c r="B591" s="3">
        <v>141430</v>
      </c>
    </row>
    <row r="592" spans="1:2" x14ac:dyDescent="0.25">
      <c r="A592" s="3">
        <v>793854</v>
      </c>
      <c r="B592" s="3">
        <v>141290</v>
      </c>
    </row>
    <row r="593" spans="1:2" x14ac:dyDescent="0.25">
      <c r="A593" s="3">
        <v>839798</v>
      </c>
      <c r="B593" s="3">
        <v>140592</v>
      </c>
    </row>
    <row r="594" spans="1:2" x14ac:dyDescent="0.25">
      <c r="A594" s="3">
        <v>527328</v>
      </c>
      <c r="B594" s="3">
        <v>140020</v>
      </c>
    </row>
    <row r="595" spans="1:2" x14ac:dyDescent="0.25">
      <c r="A595" s="3">
        <v>819434</v>
      </c>
      <c r="B595" s="3">
        <v>139462</v>
      </c>
    </row>
    <row r="596" spans="1:2" x14ac:dyDescent="0.25">
      <c r="A596" s="3">
        <v>506656</v>
      </c>
      <c r="B596" s="3">
        <v>139170</v>
      </c>
    </row>
    <row r="597" spans="1:2" x14ac:dyDescent="0.25">
      <c r="A597" s="3">
        <v>424560</v>
      </c>
      <c r="B597" s="3">
        <v>138092</v>
      </c>
    </row>
    <row r="598" spans="1:2" x14ac:dyDescent="0.25">
      <c r="A598" s="3">
        <v>616124</v>
      </c>
      <c r="B598" s="3">
        <v>135917</v>
      </c>
    </row>
    <row r="599" spans="1:2" x14ac:dyDescent="0.25">
      <c r="A599" s="3">
        <v>583152</v>
      </c>
      <c r="B599" s="3">
        <v>133972</v>
      </c>
    </row>
    <row r="600" spans="1:2" x14ac:dyDescent="0.25">
      <c r="A600" s="3">
        <v>700739</v>
      </c>
      <c r="B600" s="3">
        <v>132474</v>
      </c>
    </row>
    <row r="601" spans="1:2" x14ac:dyDescent="0.25">
      <c r="A601" s="3">
        <v>76021</v>
      </c>
      <c r="B601" s="3">
        <v>131937</v>
      </c>
    </row>
    <row r="602" spans="1:2" x14ac:dyDescent="0.25">
      <c r="A602" s="3">
        <v>837920</v>
      </c>
      <c r="B602" s="3">
        <v>129692</v>
      </c>
    </row>
    <row r="603" spans="1:2" x14ac:dyDescent="0.25">
      <c r="A603" s="3">
        <v>347997</v>
      </c>
      <c r="B603" s="3">
        <v>128868</v>
      </c>
    </row>
    <row r="604" spans="1:2" x14ac:dyDescent="0.25">
      <c r="A604" s="3">
        <v>887691</v>
      </c>
      <c r="B604" s="3">
        <v>124840</v>
      </c>
    </row>
    <row r="605" spans="1:2" x14ac:dyDescent="0.25">
      <c r="A605" s="3">
        <v>60563</v>
      </c>
      <c r="B605" s="3">
        <v>123266</v>
      </c>
    </row>
    <row r="606" spans="1:2" x14ac:dyDescent="0.25">
      <c r="A606" s="3">
        <v>652043</v>
      </c>
      <c r="B606" s="3">
        <v>123261</v>
      </c>
    </row>
    <row r="607" spans="1:2" x14ac:dyDescent="0.25">
      <c r="A607" s="3">
        <v>741295</v>
      </c>
      <c r="B607" s="3">
        <v>121891</v>
      </c>
    </row>
    <row r="608" spans="1:2" x14ac:dyDescent="0.25">
      <c r="A608" s="3">
        <v>596608</v>
      </c>
      <c r="B608" s="3">
        <v>121194</v>
      </c>
    </row>
    <row r="609" spans="1:2" x14ac:dyDescent="0.25">
      <c r="A609" s="3">
        <v>225813</v>
      </c>
      <c r="B609" s="3">
        <v>117446</v>
      </c>
    </row>
    <row r="610" spans="1:2" x14ac:dyDescent="0.25">
      <c r="A610" s="3">
        <v>779297</v>
      </c>
      <c r="B610" s="3">
        <v>114942</v>
      </c>
    </row>
    <row r="611" spans="1:2" x14ac:dyDescent="0.25">
      <c r="A611" s="3">
        <v>877295</v>
      </c>
      <c r="B611" s="3">
        <v>114284</v>
      </c>
    </row>
    <row r="612" spans="1:2" x14ac:dyDescent="0.25">
      <c r="A612" s="3">
        <v>968340</v>
      </c>
      <c r="B612" s="3">
        <v>113672</v>
      </c>
    </row>
    <row r="613" spans="1:2" x14ac:dyDescent="0.25">
      <c r="A613" s="3">
        <v>513653</v>
      </c>
      <c r="B613" s="3">
        <v>112436</v>
      </c>
    </row>
    <row r="614" spans="1:2" x14ac:dyDescent="0.25">
      <c r="A614" s="3">
        <v>142994</v>
      </c>
      <c r="B614" s="3">
        <v>109268</v>
      </c>
    </row>
    <row r="615" spans="1:2" x14ac:dyDescent="0.25">
      <c r="A615" s="3">
        <v>349566</v>
      </c>
      <c r="B615" s="3">
        <v>108763</v>
      </c>
    </row>
    <row r="616" spans="1:2" x14ac:dyDescent="0.25">
      <c r="A616" s="3">
        <v>451250</v>
      </c>
      <c r="B616" s="3">
        <v>104428</v>
      </c>
    </row>
    <row r="617" spans="1:2" x14ac:dyDescent="0.25">
      <c r="A617" s="3">
        <v>881957</v>
      </c>
      <c r="B617" s="3">
        <v>101422</v>
      </c>
    </row>
    <row r="618" spans="1:2" x14ac:dyDescent="0.25">
      <c r="A618" s="3">
        <v>400316</v>
      </c>
      <c r="B618" s="3">
        <v>101179</v>
      </c>
    </row>
    <row r="619" spans="1:2" x14ac:dyDescent="0.25">
      <c r="A619" s="3">
        <v>529976</v>
      </c>
      <c r="B619" s="3">
        <v>100861</v>
      </c>
    </row>
    <row r="620" spans="1:2" x14ac:dyDescent="0.25">
      <c r="A620" s="3">
        <v>404184</v>
      </c>
      <c r="B620" s="3">
        <v>100148</v>
      </c>
    </row>
    <row r="621" spans="1:2" x14ac:dyDescent="0.25">
      <c r="A621" s="3">
        <v>996120</v>
      </c>
      <c r="B621" s="3">
        <v>99778</v>
      </c>
    </row>
    <row r="622" spans="1:2" x14ac:dyDescent="0.25">
      <c r="A622" s="3">
        <v>147689</v>
      </c>
      <c r="B622" s="3">
        <v>96520</v>
      </c>
    </row>
    <row r="623" spans="1:2" x14ac:dyDescent="0.25">
      <c r="A623" s="3">
        <v>696835</v>
      </c>
      <c r="B623" s="3">
        <v>95638</v>
      </c>
    </row>
    <row r="624" spans="1:2" x14ac:dyDescent="0.25">
      <c r="A624" s="3">
        <v>307808</v>
      </c>
      <c r="B624" s="3">
        <v>95507</v>
      </c>
    </row>
    <row r="625" spans="1:2" x14ac:dyDescent="0.25">
      <c r="A625" s="3">
        <v>614463</v>
      </c>
      <c r="B625" s="3">
        <v>95364</v>
      </c>
    </row>
    <row r="626" spans="1:2" x14ac:dyDescent="0.25">
      <c r="A626" s="3">
        <v>512049</v>
      </c>
      <c r="B626" s="3">
        <v>95180</v>
      </c>
    </row>
    <row r="627" spans="1:2" x14ac:dyDescent="0.25">
      <c r="A627" s="3">
        <v>282837</v>
      </c>
      <c r="B627" s="3">
        <v>94731</v>
      </c>
    </row>
    <row r="628" spans="1:2" x14ac:dyDescent="0.25">
      <c r="A628" s="3">
        <v>328782</v>
      </c>
      <c r="B628" s="3">
        <v>94500</v>
      </c>
    </row>
    <row r="629" spans="1:2" x14ac:dyDescent="0.25">
      <c r="A629" s="3">
        <v>865839</v>
      </c>
      <c r="B629" s="3">
        <v>94139</v>
      </c>
    </row>
    <row r="630" spans="1:2" x14ac:dyDescent="0.25">
      <c r="A630" s="3">
        <v>912376</v>
      </c>
      <c r="B630" s="3">
        <v>92986</v>
      </c>
    </row>
    <row r="631" spans="1:2" x14ac:dyDescent="0.25">
      <c r="A631" s="3">
        <v>833538</v>
      </c>
      <c r="B631" s="3">
        <v>91088</v>
      </c>
    </row>
    <row r="632" spans="1:2" x14ac:dyDescent="0.25">
      <c r="A632" s="3">
        <v>555228</v>
      </c>
      <c r="B632" s="3">
        <v>90248</v>
      </c>
    </row>
    <row r="633" spans="1:2" x14ac:dyDescent="0.25">
      <c r="A633" s="3">
        <v>969554</v>
      </c>
      <c r="B633" s="3">
        <v>86465</v>
      </c>
    </row>
    <row r="634" spans="1:2" x14ac:dyDescent="0.25">
      <c r="A634" s="3">
        <v>505818</v>
      </c>
      <c r="B634" s="3">
        <v>85563</v>
      </c>
    </row>
    <row r="635" spans="1:2" x14ac:dyDescent="0.25">
      <c r="A635" s="3">
        <v>893751</v>
      </c>
      <c r="B635" s="3">
        <v>82761</v>
      </c>
    </row>
    <row r="636" spans="1:2" x14ac:dyDescent="0.25">
      <c r="A636" s="3">
        <v>512640</v>
      </c>
      <c r="B636" s="3">
        <v>82045</v>
      </c>
    </row>
    <row r="637" spans="1:2" x14ac:dyDescent="0.25">
      <c r="A637" s="3">
        <v>194529</v>
      </c>
      <c r="B637" s="3">
        <v>80894</v>
      </c>
    </row>
    <row r="638" spans="1:2" x14ac:dyDescent="0.25">
      <c r="A638" s="3">
        <v>810158</v>
      </c>
      <c r="B638" s="3">
        <v>79186</v>
      </c>
    </row>
    <row r="639" spans="1:2" x14ac:dyDescent="0.25">
      <c r="A639" s="3">
        <v>320972</v>
      </c>
      <c r="B639" s="3">
        <v>76074</v>
      </c>
    </row>
    <row r="640" spans="1:2" x14ac:dyDescent="0.25">
      <c r="A640" s="3">
        <v>975649</v>
      </c>
      <c r="B640" s="3">
        <v>76021</v>
      </c>
    </row>
    <row r="641" spans="1:2" x14ac:dyDescent="0.25">
      <c r="A641" s="3">
        <v>410401</v>
      </c>
      <c r="B641" s="3">
        <v>74754</v>
      </c>
    </row>
    <row r="642" spans="1:2" x14ac:dyDescent="0.25">
      <c r="A642" s="3">
        <v>269424</v>
      </c>
      <c r="B642" s="3">
        <v>71475</v>
      </c>
    </row>
    <row r="643" spans="1:2" x14ac:dyDescent="0.25">
      <c r="A643" s="3">
        <v>686604</v>
      </c>
      <c r="B643" s="3">
        <v>70183</v>
      </c>
    </row>
    <row r="644" spans="1:2" x14ac:dyDescent="0.25">
      <c r="A644" s="3">
        <v>451063</v>
      </c>
      <c r="B644" s="3">
        <v>70178</v>
      </c>
    </row>
    <row r="645" spans="1:2" x14ac:dyDescent="0.25">
      <c r="A645" s="3">
        <v>117446</v>
      </c>
      <c r="B645" s="3">
        <v>69883</v>
      </c>
    </row>
    <row r="646" spans="1:2" x14ac:dyDescent="0.25">
      <c r="A646" s="3">
        <v>31020</v>
      </c>
      <c r="B646" s="3">
        <v>69797</v>
      </c>
    </row>
    <row r="647" spans="1:2" x14ac:dyDescent="0.25">
      <c r="A647" s="3">
        <v>693086</v>
      </c>
      <c r="B647" s="3">
        <v>68219</v>
      </c>
    </row>
    <row r="648" spans="1:2" x14ac:dyDescent="0.25">
      <c r="A648" s="3">
        <v>323832</v>
      </c>
      <c r="B648" s="3">
        <v>65412</v>
      </c>
    </row>
    <row r="649" spans="1:2" x14ac:dyDescent="0.25">
      <c r="A649" s="3">
        <v>744482</v>
      </c>
      <c r="B649" s="3">
        <v>65223</v>
      </c>
    </row>
    <row r="650" spans="1:2" x14ac:dyDescent="0.25">
      <c r="A650" s="3">
        <v>222740</v>
      </c>
      <c r="B650" s="3">
        <v>64975</v>
      </c>
    </row>
    <row r="651" spans="1:2" x14ac:dyDescent="0.25">
      <c r="A651" s="3">
        <v>964640</v>
      </c>
      <c r="B651" s="3">
        <v>63150</v>
      </c>
    </row>
    <row r="652" spans="1:2" x14ac:dyDescent="0.25">
      <c r="A652" s="3">
        <v>634443</v>
      </c>
      <c r="B652" s="3">
        <v>60563</v>
      </c>
    </row>
    <row r="653" spans="1:2" x14ac:dyDescent="0.25">
      <c r="A653" s="3">
        <v>617230</v>
      </c>
      <c r="B653" s="3">
        <v>59706</v>
      </c>
    </row>
    <row r="654" spans="1:2" x14ac:dyDescent="0.25">
      <c r="A654" s="3">
        <v>566760</v>
      </c>
      <c r="B654" s="3">
        <v>58975</v>
      </c>
    </row>
    <row r="655" spans="1:2" x14ac:dyDescent="0.25">
      <c r="A655" s="3">
        <v>718451</v>
      </c>
      <c r="B655" s="3">
        <v>58651</v>
      </c>
    </row>
    <row r="656" spans="1:2" x14ac:dyDescent="0.25">
      <c r="A656" s="3">
        <v>343415</v>
      </c>
      <c r="B656" s="3">
        <v>57174</v>
      </c>
    </row>
    <row r="657" spans="1:2" x14ac:dyDescent="0.25">
      <c r="A657" s="3">
        <v>405673</v>
      </c>
      <c r="B657" s="3">
        <v>52938</v>
      </c>
    </row>
    <row r="658" spans="1:2" x14ac:dyDescent="0.25">
      <c r="A658" s="3">
        <v>206420</v>
      </c>
      <c r="B658" s="3">
        <v>47412</v>
      </c>
    </row>
    <row r="659" spans="1:2" x14ac:dyDescent="0.25">
      <c r="A659" s="3">
        <v>232452</v>
      </c>
      <c r="B659" s="3">
        <v>46488</v>
      </c>
    </row>
    <row r="660" spans="1:2" x14ac:dyDescent="0.25">
      <c r="A660" s="3">
        <v>173632</v>
      </c>
      <c r="B660" s="3">
        <v>42348</v>
      </c>
    </row>
    <row r="661" spans="1:2" x14ac:dyDescent="0.25">
      <c r="A661" s="3">
        <v>712596</v>
      </c>
      <c r="B661" s="3">
        <v>40839</v>
      </c>
    </row>
    <row r="662" spans="1:2" x14ac:dyDescent="0.25">
      <c r="A662" s="3">
        <v>939270</v>
      </c>
      <c r="B662" s="3">
        <v>39639</v>
      </c>
    </row>
    <row r="663" spans="1:2" x14ac:dyDescent="0.25">
      <c r="A663" s="3">
        <v>192084</v>
      </c>
      <c r="B663" s="3">
        <v>37550</v>
      </c>
    </row>
    <row r="664" spans="1:2" x14ac:dyDescent="0.25">
      <c r="A664" s="3">
        <v>959287</v>
      </c>
      <c r="B664" s="3">
        <v>36723</v>
      </c>
    </row>
    <row r="665" spans="1:2" x14ac:dyDescent="0.25">
      <c r="A665" s="3">
        <v>237739</v>
      </c>
      <c r="B665" s="3">
        <v>35228</v>
      </c>
    </row>
    <row r="666" spans="1:2" x14ac:dyDescent="0.25">
      <c r="A666" s="3">
        <v>824695</v>
      </c>
      <c r="B666" s="3">
        <v>34713</v>
      </c>
    </row>
    <row r="667" spans="1:2" x14ac:dyDescent="0.25">
      <c r="A667" s="3">
        <v>25739</v>
      </c>
      <c r="B667" s="3">
        <v>33960</v>
      </c>
    </row>
    <row r="668" spans="1:2" x14ac:dyDescent="0.25">
      <c r="A668" s="3">
        <v>121194</v>
      </c>
      <c r="B668" s="3">
        <v>33514</v>
      </c>
    </row>
    <row r="669" spans="1:2" x14ac:dyDescent="0.25">
      <c r="A669" s="3">
        <v>462409</v>
      </c>
      <c r="B669" s="3">
        <v>32689</v>
      </c>
    </row>
    <row r="670" spans="1:2" x14ac:dyDescent="0.25">
      <c r="A670" s="3">
        <v>583582</v>
      </c>
      <c r="B670" s="3">
        <v>32332</v>
      </c>
    </row>
    <row r="671" spans="1:2" x14ac:dyDescent="0.25">
      <c r="A671" s="3">
        <v>847143</v>
      </c>
      <c r="B671" s="3">
        <v>31020</v>
      </c>
    </row>
    <row r="672" spans="1:2" x14ac:dyDescent="0.25">
      <c r="A672" s="3">
        <v>758114</v>
      </c>
      <c r="B672" s="3">
        <v>29116</v>
      </c>
    </row>
    <row r="673" spans="1:2" x14ac:dyDescent="0.25">
      <c r="A673" s="3">
        <v>483061</v>
      </c>
      <c r="B673" s="3">
        <v>28006</v>
      </c>
    </row>
    <row r="674" spans="1:2" x14ac:dyDescent="0.25">
      <c r="A674" s="3">
        <v>394579</v>
      </c>
      <c r="B674" s="3">
        <v>27814</v>
      </c>
    </row>
    <row r="675" spans="1:2" x14ac:dyDescent="0.25">
      <c r="A675" s="3">
        <v>839379</v>
      </c>
      <c r="B675" s="3">
        <v>27373</v>
      </c>
    </row>
    <row r="676" spans="1:2" x14ac:dyDescent="0.25">
      <c r="A676" s="3">
        <v>250839</v>
      </c>
      <c r="B676" s="3">
        <v>26941</v>
      </c>
    </row>
    <row r="677" spans="1:2" x14ac:dyDescent="0.25">
      <c r="A677" s="3">
        <v>835290</v>
      </c>
      <c r="B677" s="3">
        <v>26936</v>
      </c>
    </row>
    <row r="678" spans="1:2" x14ac:dyDescent="0.25">
      <c r="A678" s="3">
        <v>85563</v>
      </c>
      <c r="B678" s="3">
        <v>24393</v>
      </c>
    </row>
    <row r="679" spans="1:2" x14ac:dyDescent="0.25">
      <c r="A679" s="3">
        <v>334796</v>
      </c>
      <c r="B679" s="3">
        <v>23050</v>
      </c>
    </row>
    <row r="680" spans="1:2" x14ac:dyDescent="0.25">
      <c r="A680" s="3">
        <v>543847</v>
      </c>
      <c r="B680" s="3">
        <v>21892</v>
      </c>
    </row>
    <row r="681" spans="1:2" x14ac:dyDescent="0.25">
      <c r="A681" s="3">
        <v>95364</v>
      </c>
      <c r="B681" s="3">
        <v>21534</v>
      </c>
    </row>
    <row r="682" spans="1:2" x14ac:dyDescent="0.25">
      <c r="A682" s="3">
        <v>762844</v>
      </c>
      <c r="B682" s="3">
        <v>21425</v>
      </c>
    </row>
    <row r="683" spans="1:2" x14ac:dyDescent="0.25">
      <c r="A683" s="3">
        <v>605830</v>
      </c>
      <c r="B683" s="3">
        <v>16334</v>
      </c>
    </row>
    <row r="684" spans="1:2" x14ac:dyDescent="0.25">
      <c r="A684" s="3">
        <v>340158</v>
      </c>
      <c r="B684" s="3">
        <v>14138</v>
      </c>
    </row>
    <row r="685" spans="1:2" x14ac:dyDescent="0.25">
      <c r="A685" s="3">
        <v>816568</v>
      </c>
      <c r="B685" s="3">
        <v>12948</v>
      </c>
    </row>
    <row r="686" spans="1:2" x14ac:dyDescent="0.25">
      <c r="A686" s="3">
        <v>230585</v>
      </c>
      <c r="B686" s="3">
        <v>11096</v>
      </c>
    </row>
    <row r="687" spans="1:2" x14ac:dyDescent="0.25">
      <c r="A687" s="3">
        <v>317081</v>
      </c>
      <c r="B687" s="3">
        <v>10466</v>
      </c>
    </row>
    <row r="688" spans="1:2" x14ac:dyDescent="0.25">
      <c r="A688" s="3">
        <v>951365</v>
      </c>
      <c r="B688" s="3">
        <f>_xlfn.XLOOKUP(A688,$B$3:$B$687,$A$3:$A$687,0)</f>
        <v>547837</v>
      </c>
    </row>
    <row r="689" spans="1:2" x14ac:dyDescent="0.25">
      <c r="A689" s="3">
        <v>258206</v>
      </c>
      <c r="B689" s="3">
        <f t="shared" ref="B689:B702" si="0">_xlfn.XLOOKUP(A689,$B$3:$B$687,$A$3:$A$687,0)</f>
        <v>222128</v>
      </c>
    </row>
    <row r="690" spans="1:2" x14ac:dyDescent="0.25">
      <c r="A690" s="3">
        <v>765823</v>
      </c>
      <c r="B690" s="3">
        <f t="shared" si="0"/>
        <v>0</v>
      </c>
    </row>
    <row r="691" spans="1:2" x14ac:dyDescent="0.25">
      <c r="A691" s="3">
        <v>985508</v>
      </c>
      <c r="B691" s="3">
        <f t="shared" si="0"/>
        <v>672726</v>
      </c>
    </row>
    <row r="692" spans="1:2" x14ac:dyDescent="0.25">
      <c r="A692" s="3">
        <v>487259</v>
      </c>
      <c r="B692" s="3">
        <f t="shared" si="0"/>
        <v>0</v>
      </c>
    </row>
    <row r="693" spans="1:2" x14ac:dyDescent="0.25">
      <c r="A693" s="3">
        <v>838568</v>
      </c>
      <c r="B693" s="3">
        <f t="shared" si="0"/>
        <v>846507</v>
      </c>
    </row>
    <row r="694" spans="1:2" x14ac:dyDescent="0.25">
      <c r="A694" s="3">
        <v>943252</v>
      </c>
      <c r="B694" s="3">
        <f t="shared" si="0"/>
        <v>745241</v>
      </c>
    </row>
    <row r="695" spans="1:2" x14ac:dyDescent="0.25">
      <c r="A695" s="3">
        <v>177244</v>
      </c>
      <c r="B695" s="3">
        <f t="shared" si="0"/>
        <v>859873</v>
      </c>
    </row>
    <row r="696" spans="1:2" x14ac:dyDescent="0.25">
      <c r="A696" s="3">
        <v>175187</v>
      </c>
      <c r="B696" s="3">
        <f t="shared" si="0"/>
        <v>0</v>
      </c>
    </row>
    <row r="697" spans="1:2" x14ac:dyDescent="0.25">
      <c r="A697" s="3">
        <v>454829</v>
      </c>
      <c r="B697" s="3">
        <f t="shared" si="0"/>
        <v>0</v>
      </c>
    </row>
    <row r="698" spans="1:2" x14ac:dyDescent="0.25">
      <c r="A698" s="3">
        <v>712607</v>
      </c>
      <c r="B698" s="3">
        <f t="shared" si="0"/>
        <v>385813</v>
      </c>
    </row>
    <row r="699" spans="1:2" x14ac:dyDescent="0.25">
      <c r="A699" s="3">
        <v>366904</v>
      </c>
      <c r="B699" s="3">
        <f t="shared" si="0"/>
        <v>37550</v>
      </c>
    </row>
    <row r="700" spans="1:2" x14ac:dyDescent="0.25">
      <c r="A700" s="3">
        <v>254519</v>
      </c>
      <c r="B700" s="3">
        <f t="shared" si="0"/>
        <v>410014</v>
      </c>
    </row>
    <row r="701" spans="1:2" x14ac:dyDescent="0.25">
      <c r="A701" s="3">
        <v>719379</v>
      </c>
      <c r="B701" s="3">
        <f t="shared" si="0"/>
        <v>0</v>
      </c>
    </row>
    <row r="702" spans="1:2" x14ac:dyDescent="0.25">
      <c r="A702" s="3">
        <v>113672</v>
      </c>
      <c r="B702" s="3">
        <f t="shared" si="0"/>
        <v>968340</v>
      </c>
    </row>
  </sheetData>
  <autoFilter ref="A2:C702" xr:uid="{00000000-0009-0000-0000-000004000000}"/>
  <mergeCells count="1">
    <mergeCell ref="A1:B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Приветствие</vt:lpstr>
      <vt:lpstr>Задания</vt:lpstr>
      <vt:lpstr>СВОД</vt:lpstr>
      <vt:lpstr>СВОД2</vt:lpstr>
      <vt:lpstr>БАЗА (1)</vt:lpstr>
      <vt:lpstr>Справочник (2-3)</vt:lpstr>
      <vt:lpstr>(4)</vt:lpstr>
      <vt:lpstr>Приветствие!Область_печати</vt:lpstr>
    </vt:vector>
  </TitlesOfParts>
  <Company>JSC Gazprom PHG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R.Smirnov</dc:creator>
  <cp:lastModifiedBy>Student</cp:lastModifiedBy>
  <dcterms:created xsi:type="dcterms:W3CDTF">2008-11-17T06:20:42Z</dcterms:created>
  <dcterms:modified xsi:type="dcterms:W3CDTF">2026-10-01T07:35:12Z</dcterms:modified>
</cp:coreProperties>
</file>